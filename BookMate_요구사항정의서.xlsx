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목록" sheetId="1" r:id="rId5"/>
    <sheet state="visible" name="진행 현황" sheetId="2" r:id="rId6"/>
    <sheet state="visible" name="업무 규칙" sheetId="3" r:id="rId7"/>
    <sheet state="visible" name="사용자 권한" sheetId="4" r:id="rId8"/>
    <sheet state="visible" name="개발 범위" sheetId="5" r:id="rId9"/>
    <sheet state="visible" name="코드 정의" sheetId="6" r:id="rId10"/>
  </sheets>
  <definedNames>
    <definedName hidden="1" localSheetId="0" name="Z_98EC5FD9_71EF_4EC9_832E_899BC24B9C0A_.wvu.FilterData">'요구사항 목록'!$A$4:$P$55</definedName>
  </definedNames>
  <calcPr/>
  <customWorkbookViews>
    <customWorkbookView activeSheetId="0" maximized="1" windowHeight="0" windowWidth="0" guid="{98EC5FD9-71EF-4EC9-832E-899BC24B9C0A}" name="필터 1"/>
  </customWorkbookViews>
</workbook>
</file>

<file path=xl/sharedStrings.xml><?xml version="1.0" encoding="utf-8"?>
<sst xmlns="http://schemas.openxmlformats.org/spreadsheetml/2006/main" count="872" uniqueCount="547">
  <si>
    <t>요구사항 개발 진행 현황</t>
  </si>
  <si>
    <t>책 평가 및 취향 공유 커뮤니티 · 요구사항정의서</t>
  </si>
  <si>
    <t>'요구사항 목록' 시트의 우선순위·담당자·진행 상태를 변경하면 아래 집계가 자동으로 갱신됩니다.</t>
  </si>
  <si>
    <t>전체 요구사항</t>
  </si>
  <si>
    <t>작성 기준일: 2026-08-24  |  개발 환경: Java · Oracle · JDBC · HTML · CSS · JavaScript</t>
  </si>
  <si>
    <t>요구사항 ID</t>
  </si>
  <si>
    <t>대분류</t>
  </si>
  <si>
    <t>중분류</t>
  </si>
  <si>
    <t>담당자</t>
  </si>
  <si>
    <t>기능명</t>
  </si>
  <si>
    <t>전체</t>
  </si>
  <si>
    <t>필수</t>
  </si>
  <si>
    <t>완료</t>
  </si>
  <si>
    <t>완료율</t>
  </si>
  <si>
    <t>요구사항 내용</t>
  </si>
  <si>
    <t>필수 요구사항</t>
  </si>
  <si>
    <t>사용자</t>
  </si>
  <si>
    <t>입력값</t>
  </si>
  <si>
    <t>처리 내용</t>
  </si>
  <si>
    <t>출력·결과</t>
  </si>
  <si>
    <t>우선순위</t>
  </si>
  <si>
    <t>완료 기준</t>
  </si>
  <si>
    <t>진행 상태</t>
  </si>
  <si>
    <t>비고</t>
  </si>
  <si>
    <t>1열</t>
  </si>
  <si>
    <t>민기</t>
  </si>
  <si>
    <t>2열</t>
  </si>
  <si>
    <t>사용자 유형별 권한</t>
  </si>
  <si>
    <t>업무 규칙</t>
  </si>
  <si>
    <t>MEM-001</t>
  </si>
  <si>
    <t>회원</t>
  </si>
  <si>
    <t>사용자 유형</t>
  </si>
  <si>
    <t>회원가입</t>
  </si>
  <si>
    <t>규칙 ID</t>
  </si>
  <si>
    <t>책·랭킹 조회</t>
  </si>
  <si>
    <t>비회원은 아이디, 비밀번호, 닉네임 등의 필수정보를 입력하여 회원가입할 수 있어야 한다.</t>
  </si>
  <si>
    <t>평점·북마크</t>
  </si>
  <si>
    <t>게시글·댓글</t>
  </si>
  <si>
    <t>영역</t>
  </si>
  <si>
    <t>티어·이상형</t>
  </si>
  <si>
    <t>비회원</t>
  </si>
  <si>
    <t>책 등록 요청</t>
  </si>
  <si>
    <t>규칙 내용</t>
  </si>
  <si>
    <t>아이디, 비밀번호, 닉네임</t>
  </si>
  <si>
    <t>회원정보를 검증한 뒤 DB에 저장</t>
  </si>
  <si>
    <t>관리자 기능</t>
  </si>
  <si>
    <t>회원가입 완료 및 로그인 화면 이동</t>
  </si>
  <si>
    <t>구현 기준</t>
  </si>
  <si>
    <t>권한 설명</t>
  </si>
  <si>
    <t>BR-001</t>
  </si>
  <si>
    <t>가능</t>
  </si>
  <si>
    <t>정현</t>
  </si>
  <si>
    <t>평점</t>
  </si>
  <si>
    <t>불가</t>
  </si>
  <si>
    <t>회원은 하나의 책에 하나의 평점만 등록할 수 있다.</t>
  </si>
  <si>
    <t>RATING에 UNIQUE(member_id, book_id) 적용</t>
  </si>
  <si>
    <t>공개 책·랭킹·게시글만 조회</t>
  </si>
  <si>
    <t>BR-002</t>
  </si>
  <si>
    <t>일반 회원</t>
  </si>
  <si>
    <t>가입 가능한 정보로 회원 레코드가 생성된다.</t>
  </si>
  <si>
    <t>평점은 1점부터 5점까지만 등록할 수 있다.</t>
  </si>
  <si>
    <t>진행 중</t>
  </si>
  <si>
    <t>CHECK(score BETWEEN 1 AND 5)</t>
  </si>
  <si>
    <t>미착수</t>
  </si>
  <si>
    <t>려립</t>
  </si>
  <si>
    <t>BR-003</t>
  </si>
  <si>
    <t>자신의 콘텐츠만 수정·삭제</t>
  </si>
  <si>
    <t>책</t>
  </si>
  <si>
    <t>작가 회원</t>
  </si>
  <si>
    <t>승인 상태가 APPROVED인 책만 일반 목록·검색·랭킹에 표시한다.</t>
  </si>
  <si>
    <t>MEM-002</t>
  </si>
  <si>
    <t>BOOK.status 조건 적용</t>
  </si>
  <si>
    <t>아이디 중복 확인</t>
  </si>
  <si>
    <t>이미 사용 중인 아이디로 회원가입할 수 없어야 한다.</t>
  </si>
  <si>
    <t>아이디</t>
  </si>
  <si>
    <t>MEMBER 테이블에서 동일 아이디 조회</t>
  </si>
  <si>
    <t>사용 가능 또는 중복 안내</t>
  </si>
  <si>
    <t>BR-004</t>
  </si>
  <si>
    <t>게시판</t>
  </si>
  <si>
    <t>중복 아이디 입력 시 가입이 차단된다.</t>
  </si>
  <si>
    <t>게시글 작성자와 관리자만 게시글을 수정·삭제할 수 있다.</t>
  </si>
  <si>
    <t>일반 회원 기능과 자신의 책 등록 요청</t>
  </si>
  <si>
    <t>MEM-003</t>
  </si>
  <si>
    <t>세션 member_id 및 role 확인</t>
  </si>
  <si>
    <t>관리자</t>
  </si>
  <si>
    <t>닉네임 중복 확인</t>
  </si>
  <si>
    <t>이미 사용 중인 닉네임을 사용할 수 없어야 한다.</t>
  </si>
  <si>
    <t>닉네임</t>
  </si>
  <si>
    <t>MEMBER 테이블에서 동일 닉네임 조회</t>
  </si>
  <si>
    <t>BR-005</t>
  </si>
  <si>
    <t>중복 닉네임 입력 시 가입이 차단된다.</t>
  </si>
  <si>
    <t>권한</t>
  </si>
  <si>
    <t>MEM-004</t>
  </si>
  <si>
    <t>일반 회원은 관리자 페이지에 접근할 수 없다.</t>
  </si>
  <si>
    <t>로그인</t>
  </si>
  <si>
    <t>세션 role=ADMIN 확인</t>
  </si>
  <si>
    <t>등록된 아이디와 비밀번호로 로그인할 수 있어야 한다.</t>
  </si>
  <si>
    <t>BR-006</t>
  </si>
  <si>
    <t>전체 콘텐츠와 계정 및 승인 업무 관리</t>
  </si>
  <si>
    <t>아이디, 비밀번호</t>
  </si>
  <si>
    <t>회원정보와 입력값 일치 여부 확인</t>
  </si>
  <si>
    <t>성공 시 메인 이동, 실패 시 오류 표시</t>
  </si>
  <si>
    <t>좋아요</t>
  </si>
  <si>
    <t>정상 회원만 로그인할 수 있다.</t>
  </si>
  <si>
    <t>MEM-005</t>
  </si>
  <si>
    <t>동일 회원은 동일 게시글에 한 번만 좋아요를 등록할 수 있다.</t>
  </si>
  <si>
    <t>로그인 세션</t>
  </si>
  <si>
    <t>로그인 성공 시 회원 식별정보와 권한을 세션에 저장해야 한다.</t>
  </si>
  <si>
    <t>로그인 회원정보</t>
  </si>
  <si>
    <t>회원번호, 닉네임, 권한을 세션에 저장</t>
  </si>
  <si>
    <t>UNIQUE(post_id, member_id)</t>
  </si>
  <si>
    <t>회원 전용 메뉴 표시</t>
  </si>
  <si>
    <t>선택</t>
  </si>
  <si>
    <t>페이지 이동 후에도 로그인 상태가 유지된다.</t>
  </si>
  <si>
    <t>BR-007</t>
  </si>
  <si>
    <t>티어리스트</t>
  </si>
  <si>
    <t>MEM-006</t>
  </si>
  <si>
    <t>로그아웃</t>
  </si>
  <si>
    <t>사용자는 현재 로그인 세션을 삭제하고 로그아웃할 수 있어야 한다.</t>
  </si>
  <si>
    <t>비공개 티어리스트는 작성자만 조회할 수 있다.</t>
  </si>
  <si>
    <t>로그아웃 요청</t>
  </si>
  <si>
    <t>세션 무효화</t>
  </si>
  <si>
    <t>비회원 상태로 메인 이동</t>
  </si>
  <si>
    <t>공개 여부와 소유자 확인</t>
  </si>
  <si>
    <t>로그아웃 후 회원 전용 기능에 접근할 수 없다.</t>
  </si>
  <si>
    <t>MEM-007</t>
  </si>
  <si>
    <t>마이페이지</t>
  </si>
  <si>
    <t>BR-008</t>
  </si>
  <si>
    <t>회원은 자신의 프로필과 사이트 활동 내역을 확인할 수 있어야 한다.</t>
  </si>
  <si>
    <t>책 승인</t>
  </si>
  <si>
    <t>로그인 회원번호</t>
  </si>
  <si>
    <t>회원별 평점, 게시글, 티어리스트 등 조회</t>
  </si>
  <si>
    <t>개인 활동 목록 표시</t>
  </si>
  <si>
    <t>책 등록 거절 시 관리자는 거절 사유를 입력해야 한다.</t>
  </si>
  <si>
    <t>중요</t>
  </si>
  <si>
    <t>다른 회원의 비공개 활동은 표시되지 않는다.</t>
  </si>
  <si>
    <t>MEM-008</t>
  </si>
  <si>
    <t>책·작가</t>
  </si>
  <si>
    <t>회원정보 수정</t>
  </si>
  <si>
    <t>거절 처리 전 필수값 검증</t>
  </si>
  <si>
    <t>회원은 비밀번호와 닉네임 등 수정 가능한 정보를 변경할 수 있어야 한다.</t>
  </si>
  <si>
    <t>변경 정보</t>
  </si>
  <si>
    <t>중복 및 형식 검증 후 회원정보 수정</t>
  </si>
  <si>
    <t>수정 완료 안내</t>
  </si>
  <si>
    <t>수정한 정보가 재로그인 후에도 유지된다.</t>
  </si>
  <si>
    <t>BR-009</t>
  </si>
  <si>
    <t>MEM-009</t>
  </si>
  <si>
    <t>북마크</t>
  </si>
  <si>
    <t>회원은 관심 있는 책을 북마크하거나 해제할 수 있어야 한다.</t>
  </si>
  <si>
    <t>책 번호</t>
  </si>
  <si>
    <t>정지·탈퇴·영구제한 회원은 새 콘텐츠를 작성할 수 없다.</t>
  </si>
  <si>
    <t>회원과 책의 북마크 관계를 등록 또는 삭제</t>
  </si>
  <si>
    <t>북마크 상태와 개수 표시</t>
  </si>
  <si>
    <t>MEMBER.status 확인</t>
  </si>
  <si>
    <t>동일 회원과 책의 중복 북마크가 생성되지 않는다.</t>
  </si>
  <si>
    <t>BOOK-001</t>
  </si>
  <si>
    <t>BR-010</t>
  </si>
  <si>
    <t>게시글 상세페이지 조회 시 조회수를 증가시킨다.</t>
  </si>
  <si>
    <t>책 검색</t>
  </si>
  <si>
    <t>상세조회 트랜잭션에서 증가</t>
  </si>
  <si>
    <t>평점·랭킹</t>
  </si>
  <si>
    <t>책 목록 조회</t>
  </si>
  <si>
    <t>사용자는 관리자가 승인한 책의 목록을 조회할 수 있어야 한다.</t>
  </si>
  <si>
    <t>목록 요청</t>
  </si>
  <si>
    <t>BOOK 상태가 APPROVED인 책만 조회</t>
  </si>
  <si>
    <t>책 목록 표시</t>
  </si>
  <si>
    <t>BR-011</t>
  </si>
  <si>
    <t>승인 대기 또는 거절된 책은 일반 목록에 나오지 않는다.</t>
  </si>
  <si>
    <t>BOOK-002</t>
  </si>
  <si>
    <t>동일 ISBN의 책은 중복 등록할 수 없다.</t>
  </si>
  <si>
    <t>책 상세조회</t>
  </si>
  <si>
    <t>사용자는 책의 제목, 표지, 작가, 장르, 소개와 평점 정보를 확인할 수 있어야 한다.</t>
  </si>
  <si>
    <t>ISBN UNIQUE 또는 중복조회</t>
  </si>
  <si>
    <t>책 및 작가·평점 데이터 조회</t>
  </si>
  <si>
    <t>책 상세정보 표시</t>
  </si>
  <si>
    <t>존재하는 승인 책의 상세정보가 정상 표시된다.</t>
  </si>
  <si>
    <t>BR-012</t>
  </si>
  <si>
    <t>BOOK-003</t>
  </si>
  <si>
    <t>삭제</t>
  </si>
  <si>
    <t>사용자는 책 제목 또는 작가명으로 책을 검색할 수 있어야 한다.</t>
  </si>
  <si>
    <t>검색어</t>
  </si>
  <si>
    <t>제목 및 작가명 부분일치 검색</t>
  </si>
  <si>
    <t>연결 데이터가 있는 콘텐츠는 가능한 경우 상태값을 이용해 소프트 삭제한다.</t>
  </si>
  <si>
    <t>검색 결과 목록 표시</t>
  </si>
  <si>
    <t>ACTIVE/DELETED 상태 사용</t>
  </si>
  <si>
    <t>검색어와 일치하는 승인 책만 표시된다.</t>
  </si>
  <si>
    <t>BOOK-006</t>
  </si>
  <si>
    <t>책 확인</t>
  </si>
  <si>
    <t>회원 또는 작가 회원은 새로운 책의 등록을 요청할 수 있어야 한다.</t>
  </si>
  <si>
    <t>회원·작가</t>
  </si>
  <si>
    <t>책 제목, ISBN, 작가, 출판사, 장르 등</t>
  </si>
  <si>
    <t>중복 확인 후 PENDING 상태로 저장</t>
  </si>
  <si>
    <t>등록 요청 완료 안내</t>
  </si>
  <si>
    <t>요청한 책이 승인 대기 목록에 생성된다.</t>
  </si>
  <si>
    <t>BOOK-007</t>
  </si>
  <si>
    <t>책 이상형</t>
  </si>
  <si>
    <t>승인 책 공개</t>
  </si>
  <si>
    <t>시스템은 APPROVED 상태의 책만 일반 사용자에게 공개해야 한다.</t>
  </si>
  <si>
    <t>시스템</t>
  </si>
  <si>
    <t>BOOK.status</t>
  </si>
  <si>
    <t>상태값에 따라 공개 여부 결정</t>
  </si>
  <si>
    <t>승인 책만 목록·검색에 노출</t>
  </si>
  <si>
    <t>정현·려립</t>
  </si>
  <si>
    <t>PENDING과 REJECTED 책은 일반 조회에서 제외된다.</t>
  </si>
  <si>
    <t>BOOK-008</t>
  </si>
  <si>
    <t>중복 책 확인</t>
  </si>
  <si>
    <t>ISBN이 동일한 책이 이미 존재하거나 승인 대기 중이면 중복 등록을 차단해야 한다.</t>
  </si>
  <si>
    <t>회원·관리자</t>
  </si>
  <si>
    <t>ISBN</t>
  </si>
  <si>
    <t>기존 BOOK 데이터와 ISBN 비교</t>
  </si>
  <si>
    <t>중복 안내 또는 등록 진행</t>
  </si>
  <si>
    <t>동일 ISBN으로 두 건이 등록되지 않는다.</t>
  </si>
  <si>
    <t>RATE-001</t>
  </si>
  <si>
    <t>평점 관리</t>
  </si>
  <si>
    <t>평점 등록</t>
  </si>
  <si>
    <t>로그인한 회원은 책에 1점부터 5점까지 평점을 등록할 수 있어야 한다.</t>
  </si>
  <si>
    <t>책 번호, 점수, 한줄평</t>
  </si>
  <si>
    <t>점수 범위와 중복 여부 확인 후 저장</t>
  </si>
  <si>
    <t>평점 등록 및 평균 갱신</t>
  </si>
  <si>
    <t>유효한 점수와 한줄평이 저장된다.</t>
  </si>
  <si>
    <t>RATE-002</t>
  </si>
  <si>
    <t>중복 평점 방지</t>
  </si>
  <si>
    <t>한 회원은 한 책에 하나의 평점만 보유할 수 있어야 한다.</t>
  </si>
  <si>
    <t>회원 번호, 책 번호</t>
  </si>
  <si>
    <t>기존 평점 존재 여부 확인</t>
  </si>
  <si>
    <t>신규 등록 차단 또는 수정 안내</t>
  </si>
  <si>
    <t>댓글</t>
  </si>
  <si>
    <t>회원·책 조합이 중복 저장되지 않는다.</t>
  </si>
  <si>
    <t>RATE-003</t>
  </si>
  <si>
    <t>평점 수정</t>
  </si>
  <si>
    <t>회원은 자신이 등록한 평점과 한줄평을 수정할 수 있어야 한다.</t>
  </si>
  <si>
    <t>수정 점수, 한줄평</t>
  </si>
  <si>
    <t>작성자 확인 후 데이터 수정</t>
  </si>
  <si>
    <t>수정 내용 및 평균 갱신</t>
  </si>
  <si>
    <t>작성자 본인의 평가만 수정된다.</t>
  </si>
  <si>
    <t>RATE-004</t>
  </si>
  <si>
    <t>평점 삭제</t>
  </si>
  <si>
    <t>회원은 자신이 등록한 평점을 삭제할 수 있어야 한다.</t>
  </si>
  <si>
    <t>평점 번호</t>
  </si>
  <si>
    <t>작성자 확인 후 평가 삭제</t>
  </si>
  <si>
    <t>평가 삭제 및 평균 갱신</t>
  </si>
  <si>
    <t>삭제 후 평가와 집계값이 함께 반영된다.</t>
  </si>
  <si>
    <t>RATE-005</t>
  </si>
  <si>
    <t>평균 평점</t>
  </si>
  <si>
    <t>시스템은 책별 평균 평점과 평가 참여 인원을 계산해야 한다.</t>
  </si>
  <si>
    <t>책별 평가 데이터</t>
  </si>
  <si>
    <t>AVG와 COUNT로 집계</t>
  </si>
  <si>
    <t>평균 평점과 참여 인원 표시</t>
  </si>
  <si>
    <t>평가 등록·수정·삭제 후 집계가 정확하다.</t>
  </si>
  <si>
    <t>RATE-006</t>
  </si>
  <si>
    <t>평점 분포</t>
  </si>
  <si>
    <t>책 상세페이지에서 1~5점별 평가 인원을 표시할 수 있어야 한다.</t>
  </si>
  <si>
    <t>점수별 평가 수 GROUP BY 집계</t>
  </si>
  <si>
    <t>점수별 인원 및 막대 표시</t>
  </si>
  <si>
    <t>점수별 인원 합계가 전체 참여 인원과 같다.</t>
  </si>
  <si>
    <t>RATE-007</t>
  </si>
  <si>
    <t>랭킹</t>
  </si>
  <si>
    <t>장르별 랭킹</t>
  </si>
  <si>
    <t>사용자는 장르별 평균 평점순 또는 참여 인원순 랭킹을 조회할 수 있어야 한다.</t>
  </si>
  <si>
    <t>개발 단계 및 담당 범위</t>
  </si>
  <si>
    <t>장르, 정렬 기준</t>
  </si>
  <si>
    <t>최소 평가 인원을 적용해 순위 계산</t>
  </si>
  <si>
    <t>장르별 순위 표시</t>
  </si>
  <si>
    <t>동률 처리 기준에 따라 순서가 일관된다.</t>
  </si>
  <si>
    <t>TIER-001</t>
  </si>
  <si>
    <t>개발 단계</t>
  </si>
  <si>
    <t>티어리스트 관리</t>
  </si>
  <si>
    <t>티어리스트 생성</t>
  </si>
  <si>
    <t>회원은 자신만의 책 티어리스트를 생성할 수 있어야 한다.</t>
  </si>
  <si>
    <t>개발 범위</t>
  </si>
  <si>
    <t>제목, 설명, 공개 여부</t>
  </si>
  <si>
    <t>TIER_LIST 저장</t>
  </si>
  <si>
    <t>새 티어리스트 표시</t>
  </si>
  <si>
    <t>목적</t>
  </si>
  <si>
    <t>로그인 회원 소유의 목록이 생성된다.</t>
  </si>
  <si>
    <t>완료 시점</t>
  </si>
  <si>
    <t>TIER-002</t>
  </si>
  <si>
    <t>티어 등급 변경</t>
  </si>
  <si>
    <t>회원은 티어리스트에 포함된 책의 등급을 변경할 수 있어야 한다.</t>
  </si>
  <si>
    <t>항목 번호, 변경 등급</t>
  </si>
  <si>
    <t>소유자 확인 후 등급 수정</t>
  </si>
  <si>
    <t>변경된 위치 표시</t>
  </si>
  <si>
    <t>본인 티어리스트의 책만 변경할 수 있다.</t>
  </si>
  <si>
    <t>TIER-003</t>
  </si>
  <si>
    <t>책 추가 및 등급 설정</t>
  </si>
  <si>
    <t>회원은 책을 티어리스트에 추가하고 S·A·B·C·D 등급을 지정할 수 있어야 한다.</t>
  </si>
  <si>
    <t>티어리스트, 책, 등급</t>
  </si>
  <si>
    <t>회원가입·로그인·로그아웃·세션</t>
  </si>
  <si>
    <t>TIER_ITEM 저장</t>
  </si>
  <si>
    <t>등급별 책 표시</t>
  </si>
  <si>
    <t>사이트 사용자 식별과 권한 처리</t>
  </si>
  <si>
    <t>허용된 등급만 저장된다.</t>
  </si>
  <si>
    <t>최초 시연 가능</t>
  </si>
  <si>
    <t>TIER-004</t>
  </si>
  <si>
    <t>책 제외</t>
  </si>
  <si>
    <t>회원은 자신의 티어리스트에서 책을 제외할 수 있어야 한다.</t>
  </si>
  <si>
    <t>티어 항목 번호</t>
  </si>
  <si>
    <t>소유자 확인 후 TIER_ITEM 삭제</t>
  </si>
  <si>
    <t>목록에서 책 제거</t>
  </si>
  <si>
    <t>다른 회원의 항목은 삭제되지 않는다.</t>
  </si>
  <si>
    <t>TIER-005</t>
  </si>
  <si>
    <t>AUTHOR·BOOK 테이블, 책 목록·상세·검색</t>
  </si>
  <si>
    <t>공개 설정</t>
  </si>
  <si>
    <t>회원은 티어리스트를 공개 또는 비공개로 설정할 수 있어야 한다.</t>
  </si>
  <si>
    <t>공개 여부</t>
  </si>
  <si>
    <t>TIER_LIST 공개값 수정</t>
  </si>
  <si>
    <t>공개 범위 반영</t>
  </si>
  <si>
    <t>모든 책 기반 기능의 선행조건</t>
  </si>
  <si>
    <t>비공개 목록은 소유자만 조회할 수 있다.</t>
  </si>
  <si>
    <t>IDEAL-001</t>
  </si>
  <si>
    <t>책 이상형 진행</t>
  </si>
  <si>
    <t>후보 책 조회</t>
  </si>
  <si>
    <t>POST 테이블, 게시판 CRUD</t>
  </si>
  <si>
    <t>회원은 선택한 장르에서 이상형 월드컵 후보를 조회할 수 있어야 한다.</t>
  </si>
  <si>
    <t>장르</t>
  </si>
  <si>
    <t>승인 책 중 후보 무작위 또는 기준 조회</t>
  </si>
  <si>
    <t>8권의 후보 표시</t>
  </si>
  <si>
    <t>독립 개발 가능한 커뮤니티 핵심</t>
  </si>
  <si>
    <t>후보가 부족하면 진행 불가 안내를 표시한다.</t>
  </si>
  <si>
    <t>IDEAL-002</t>
  </si>
  <si>
    <t>8강 진행</t>
  </si>
  <si>
    <t>시스템은 8권의 후보로 대진을 만들고 선택된 책을 다음 라운드로 진출시켜야 한다.</t>
  </si>
  <si>
    <t>두 책 중 선택</t>
  </si>
  <si>
    <t>라운드별 승자 저장</t>
  </si>
  <si>
    <t>다음 대진 또는 결승 표시</t>
  </si>
  <si>
    <t>8강부터 결승까지 선택 흐름이 이어진다.</t>
  </si>
  <si>
    <t>IDEAL-003</t>
  </si>
  <si>
    <t>마이페이지·회원정보 수정</t>
  </si>
  <si>
    <t>책 이상형 결과 관리</t>
  </si>
  <si>
    <t>회원별 활동 연결</t>
  </si>
  <si>
    <t>결과 저장</t>
  </si>
  <si>
    <t>시스템은 최종 우승 책과 회원의 선택 결과를 저장해야 한다.</t>
  </si>
  <si>
    <t>최종 우승 책</t>
  </si>
  <si>
    <t>IDEAL_RESULT 저장</t>
  </si>
  <si>
    <t>핵심 기능 완료 후</t>
  </si>
  <si>
    <t>최종 결과 화면 표시</t>
  </si>
  <si>
    <t>완료한 게임의 우승 결과가 1건 저장된다.</t>
  </si>
  <si>
    <t>IDEAL-004</t>
  </si>
  <si>
    <t>결과 랭킹</t>
  </si>
  <si>
    <t>사용자는 이상형 월드컵 우승 횟수가 높은 책 순위를 조회할 수 있어야 한다.</t>
  </si>
  <si>
    <t>이상형 결과 데이터</t>
  </si>
  <si>
    <t>책별 우승 횟수 집계</t>
  </si>
  <si>
    <t>이상형 결과 랭킹 표시</t>
  </si>
  <si>
    <t>우승 횟수와 순위가 집계 데이터와 일치한다.</t>
  </si>
  <si>
    <t>상태·권한·분류 코드 정의</t>
  </si>
  <si>
    <t>POST-001</t>
  </si>
  <si>
    <t>평점 CRUD·평균·장르별 랭킹</t>
  </si>
  <si>
    <t>책 평가 서비스 완성</t>
  </si>
  <si>
    <t>게시글 필터</t>
  </si>
  <si>
    <t>필드</t>
  </si>
  <si>
    <t>게시글 목록</t>
  </si>
  <si>
    <t>사용자는 공개된 게시글 목록을 조회할 수 있어야 한다.</t>
  </si>
  <si>
    <t>목록·카테고리 요청</t>
  </si>
  <si>
    <t>삭제되지 않은 게시글 조회</t>
  </si>
  <si>
    <t>게시글 목록 표시</t>
  </si>
  <si>
    <t>코드값</t>
  </si>
  <si>
    <t>제목, 작성자, 작성일, 조회수가 표시된다.</t>
  </si>
  <si>
    <t>설명</t>
  </si>
  <si>
    <t>POST-002</t>
  </si>
  <si>
    <t>게시글 검색</t>
  </si>
  <si>
    <t>사용자는 제목, 내용 또는 작성자 기준으로 게시글을 검색할 수 있어야 한다.</t>
  </si>
  <si>
    <t>관리자 책 승인·거절</t>
  </si>
  <si>
    <t>검색 유형, 검색어</t>
  </si>
  <si>
    <t>조건별 부분일치 검색</t>
  </si>
  <si>
    <t>MEMBER.role</t>
  </si>
  <si>
    <t>승인된 책만 공개</t>
  </si>
  <si>
    <t>검색 조건과 일치하는 게시글만 표시된다.</t>
  </si>
  <si>
    <t>USER</t>
  </si>
  <si>
    <t>POST-003</t>
  </si>
  <si>
    <t>게시판 페이징</t>
  </si>
  <si>
    <t>게시글 목록은 지정된 개수 단위로 나누어 표시되어야 한다.</t>
  </si>
  <si>
    <t>페이지 번호</t>
  </si>
  <si>
    <t>전체 건수와 페이지 범위 계산</t>
  </si>
  <si>
    <t>이전·페이지·다음 표시</t>
  </si>
  <si>
    <t>AUTHOR</t>
  </si>
  <si>
    <t>게시판 검색·필터·페이징·댓글</t>
  </si>
  <si>
    <t>첫·마지막 페이지에서 잘못된 이동이 발생하지 않는다.</t>
  </si>
  <si>
    <t>커뮤니티 사용성 강화</t>
  </si>
  <si>
    <t>POST-004</t>
  </si>
  <si>
    <t>게시글</t>
  </si>
  <si>
    <t>여유 시 구현</t>
  </si>
  <si>
    <t>ADMIN</t>
  </si>
  <si>
    <t>게시글 등록</t>
  </si>
  <si>
    <t>로그인한 회원은 카테고리, 제목과 내용을 입력하여 게시글을 작성할 수 있어야 한다.</t>
  </si>
  <si>
    <t>카테고리, 제목, 내용, 스포일러 여부</t>
  </si>
  <si>
    <t>필수값 검증 후 POST 저장</t>
  </si>
  <si>
    <t>작성한 게시글 상세 이동</t>
  </si>
  <si>
    <t>로그인 회원의 작성자 정보와 함께 저장된다.</t>
  </si>
  <si>
    <t>북마크·독서 개인화</t>
  </si>
  <si>
    <t>POST-005</t>
  </si>
  <si>
    <t>마이페이지 활용 확대</t>
  </si>
  <si>
    <t>게시글 수정</t>
  </si>
  <si>
    <t>작성자는 자신이 작성한 게시글만 수정할 수 있어야 한다.</t>
  </si>
  <si>
    <t>변경 제목·내용</t>
  </si>
  <si>
    <t>작성자 또는 관리자 권한 확인 후 수정</t>
  </si>
  <si>
    <t>수정된 게시글 표시</t>
  </si>
  <si>
    <t>MEMBER.status</t>
  </si>
  <si>
    <t>권한 없는 회원의 수정 요청은 차단된다.</t>
  </si>
  <si>
    <t>ACTIVE</t>
  </si>
  <si>
    <t>POST-006</t>
  </si>
  <si>
    <t>게시글 삭제</t>
  </si>
  <si>
    <t>티어리스트·평점 분포</t>
  </si>
  <si>
    <t>정상</t>
  </si>
  <si>
    <t>작성자는 자신의 게시글을 삭제할 수 있고 관리자는 모든 게시글을 관리할 수 있어야 한다.</t>
  </si>
  <si>
    <t>게시글 번호</t>
  </si>
  <si>
    <t>권한 확인 후 삭제 또는 상태 변경</t>
  </si>
  <si>
    <t>사이트 차별화</t>
  </si>
  <si>
    <t>목록에서 제거 또는 삭제 안내</t>
  </si>
  <si>
    <t>작성자와 관리자 외 삭제가 차단된다.</t>
  </si>
  <si>
    <t>SUSPENDED</t>
  </si>
  <si>
    <t>POST-007</t>
  </si>
  <si>
    <t>게시글 상세</t>
  </si>
  <si>
    <t>활동 정지</t>
  </si>
  <si>
    <t>사용자는 게시글의 제목, 내용, 작성자, 작성일을 확인할 수 있어야 한다.</t>
  </si>
  <si>
    <t>게시글 조회 및 조회수 증가</t>
  </si>
  <si>
    <t>상세 내용 표시</t>
  </si>
  <si>
    <t>책 이상형 월드컵</t>
  </si>
  <si>
    <t>존재하는 게시글을 열면 내용이 정상 표시된다.</t>
  </si>
  <si>
    <t>대표 차별화 콘텐츠</t>
  </si>
  <si>
    <t>WITHDRAWN</t>
  </si>
  <si>
    <t>POST-009</t>
  </si>
  <si>
    <t>확장 기능</t>
  </si>
  <si>
    <t>탈퇴</t>
  </si>
  <si>
    <t>게시글 좋아요</t>
  </si>
  <si>
    <t>회원은 동일 게시글에 한 번만 좋아요를 등록하고 취소할 수 있어야 한다.</t>
  </si>
  <si>
    <t>중복 확인 후 좋아요 등록 또는 삭제</t>
  </si>
  <si>
    <t>좋아요 상태와 개수 표시</t>
  </si>
  <si>
    <t>회원·게시글 조합의 중복 좋아요가 없다.</t>
  </si>
  <si>
    <t>BANNED</t>
  </si>
  <si>
    <t>취향 일치율</t>
  </si>
  <si>
    <t>POST-010</t>
  </si>
  <si>
    <t>회원 데이터 활용</t>
  </si>
  <si>
    <t>관리자 게시판</t>
  </si>
  <si>
    <t>공지사항</t>
  </si>
  <si>
    <t>관리자는 공지사항을 작성하고 중요 공지를 게시판 상단에 고정할 수 있어야 한다.</t>
  </si>
  <si>
    <t>영구 제한</t>
  </si>
  <si>
    <t>제목, 내용, 고정 여부</t>
  </si>
  <si>
    <t>NOTICE 카테고리 및 고정값 저장</t>
  </si>
  <si>
    <t>공지 목록과 상단 고정 표시</t>
  </si>
  <si>
    <t>일반 회원의 공지 작성 요청은 차단된다.</t>
  </si>
  <si>
    <t>COMMENT-001</t>
  </si>
  <si>
    <t>좋아요·스포일러·대시보드·관리 로그</t>
  </si>
  <si>
    <t>운영과 참여 기능 강화</t>
  </si>
  <si>
    <t>댓글관리</t>
  </si>
  <si>
    <t>PENDING</t>
  </si>
  <si>
    <t>댓글 등록</t>
  </si>
  <si>
    <t>로그인한 회원은 게시글에 댓글을 작성할 수 있어야 한다.</t>
  </si>
  <si>
    <t>게시글 번호, 댓글 내용</t>
  </si>
  <si>
    <t>필수값 검증 후 COMMENT 저장</t>
  </si>
  <si>
    <t>댓글 목록에 즉시 표시</t>
  </si>
  <si>
    <t>승인 대기</t>
  </si>
  <si>
    <t>작성자와 작성일이 함께 저장된다.</t>
  </si>
  <si>
    <t>COMMENT-002</t>
  </si>
  <si>
    <t>댓글 수정</t>
  </si>
  <si>
    <t>댓글 작성자는 자신의 댓글만 수정할 수 있어야 한다.</t>
  </si>
  <si>
    <t>APPROVED</t>
  </si>
  <si>
    <t>댓글 번호, 변경 내용</t>
  </si>
  <si>
    <t>작성자 확인 후 수정</t>
  </si>
  <si>
    <t>수정된 댓글 표시</t>
  </si>
  <si>
    <t>승인 완료·일반 공개</t>
  </si>
  <si>
    <t>다른 회원의 댓글 수정이 차단된다.</t>
  </si>
  <si>
    <t>COMMENT-003</t>
  </si>
  <si>
    <t>REJECTED</t>
  </si>
  <si>
    <t>댓글 삭제</t>
  </si>
  <si>
    <t>댓글 작성자는 자신의 댓글을 삭제할 수 있고 관리자는 모든 댓글을 관리할 수 있어야 한다.</t>
  </si>
  <si>
    <t>댓글 번호</t>
  </si>
  <si>
    <t>댓글 제거 또는 삭제 안내</t>
  </si>
  <si>
    <t>승인 거절</t>
  </si>
  <si>
    <t>권한 없는 회원의 삭제가 차단된다.</t>
  </si>
  <si>
    <t>TIER.grade</t>
  </si>
  <si>
    <t>ADMIN-001</t>
  </si>
  <si>
    <t>S</t>
  </si>
  <si>
    <t>최상위</t>
  </si>
  <si>
    <t>승인 대기 책 조회</t>
  </si>
  <si>
    <t>관리자는 PENDING 상태의 책 등록 요청 목록과 상세내용을 조회할 수 있어야 한다.</t>
  </si>
  <si>
    <t>승인 대기 목록 요청</t>
  </si>
  <si>
    <t>PENDING 책 조회</t>
  </si>
  <si>
    <t>승인 대기 목록 표시</t>
  </si>
  <si>
    <t>A</t>
  </si>
  <si>
    <t>대기 중인 책과 신청정보가 표시된다.</t>
  </si>
  <si>
    <t>매우 좋음</t>
  </si>
  <si>
    <t>ADMIN-002</t>
  </si>
  <si>
    <t>관리자는 등록 요청된 책을 승인할 수 있어야 한다.</t>
  </si>
  <si>
    <t>BOOK.status를 APPROVED로 변경하고 처리정보 저장</t>
  </si>
  <si>
    <t>승인 완료 및 일반 공개</t>
  </si>
  <si>
    <t>B</t>
  </si>
  <si>
    <t>승인 직후 일반 책 목록에서 조회된다.</t>
  </si>
  <si>
    <t>좋음</t>
  </si>
  <si>
    <t>ADMIN-003</t>
  </si>
  <si>
    <t>책 거절</t>
  </si>
  <si>
    <t>관리자는 책 등록 요청을 거절 사유와 함께 거절할 수 있어야 한다.</t>
  </si>
  <si>
    <t>책 번호, 거절 사유</t>
  </si>
  <si>
    <t>BOOK.status를 REJECTED로 변경하고 사유 저장</t>
  </si>
  <si>
    <t>거절 결과 표시</t>
  </si>
  <si>
    <t>C</t>
  </si>
  <si>
    <t>거절 사유 없이 처리되지 않으며 일반 목록에 공개되지 않는다.</t>
  </si>
  <si>
    <t>보통</t>
  </si>
  <si>
    <t>ADMIN-004</t>
  </si>
  <si>
    <t>관리자 화면</t>
  </si>
  <si>
    <t>D</t>
  </si>
  <si>
    <t>관리자 접근 제한</t>
  </si>
  <si>
    <t>낮음</t>
  </si>
  <si>
    <t>관리자 권한을 가진 회원만 관리자 페이지에 접근할 수 있어야 한다.</t>
  </si>
  <si>
    <t>로그인 세션 권한</t>
  </si>
  <si>
    <t>ADMIN 권한 확인</t>
  </si>
  <si>
    <t>관리자 화면 표시 또는 접근 차단</t>
  </si>
  <si>
    <t>POST.category</t>
  </si>
  <si>
    <t>일반 회원이 관리자 URL로 접근해도 차단된다.</t>
  </si>
  <si>
    <t>FREE</t>
  </si>
  <si>
    <t>자유글</t>
  </si>
  <si>
    <t>ADMIN-005</t>
  </si>
  <si>
    <t>회원 상태 관리</t>
  </si>
  <si>
    <t>관리자는 회원을 검색하고 정상·정지·탈퇴·영구제한 상태를 변경할 수 있어야 한다.</t>
  </si>
  <si>
    <t>회원 번호, 상태, 처리 사유</t>
  </si>
  <si>
    <t>회원 상태와 처리정보 수정</t>
  </si>
  <si>
    <t>회원 상태 표시</t>
  </si>
  <si>
    <t>RECOMMEND</t>
  </si>
  <si>
    <t>정지 또는 제한 회원의 콘텐츠 작성이 차단된다.</t>
  </si>
  <si>
    <t>책 추천</t>
  </si>
  <si>
    <t>ADMIN-006</t>
  </si>
  <si>
    <t>게시물 관리</t>
  </si>
  <si>
    <t>관리자는 부적절한 게시글과 댓글을 조회하고 삭제 처리할 수 있어야 한다.</t>
  </si>
  <si>
    <t>대상 유형, 대상 번호, 처리 사유</t>
  </si>
  <si>
    <t>대상 상태 변경 또는 삭제</t>
  </si>
  <si>
    <t>관리 결과 표시</t>
  </si>
  <si>
    <t>REVIEW</t>
  </si>
  <si>
    <t>처리한 콘텐츠가 일반 화면에 노출되지 않는다.</t>
  </si>
  <si>
    <t>책 후기</t>
  </si>
  <si>
    <t>ADMIN-007</t>
  </si>
  <si>
    <t>관리자 대시보드</t>
  </si>
  <si>
    <t>관리자는 회원·책·게시글·승인 대기 건수를 요약해서 확인할 수 있어야 한다.</t>
  </si>
  <si>
    <t>관리 현황 요청</t>
  </si>
  <si>
    <t>테이블별 COUNT 집계</t>
  </si>
  <si>
    <t>현황 카드 표시</t>
  </si>
  <si>
    <t>TIER_SHARE</t>
  </si>
  <si>
    <t>요약 건수가 실제 데이터와 일치한다.</t>
  </si>
  <si>
    <t>ADMIN-008</t>
  </si>
  <si>
    <t>티어리스트 공유</t>
  </si>
  <si>
    <t>관리자 처리 내역</t>
  </si>
  <si>
    <t>시스템은 관리자가 수행한 승인·거절·삭제 등의 처리 내역을 기록해야 한다.</t>
  </si>
  <si>
    <t>관리자, 대상, 처리유형, 사유</t>
  </si>
  <si>
    <t>ADMIN_LOG에 처리정보 저장</t>
  </si>
  <si>
    <t>관리 이력 조회</t>
  </si>
  <si>
    <t>처리자·대상·사유·일시가 남는다.</t>
  </si>
  <si>
    <t>AUTHOR_TALK</t>
  </si>
  <si>
    <t>작가 이야기</t>
  </si>
  <si>
    <t>NOTICE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</si>
</sst>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rgb="FF000000"/>
      <name val="Carlito"/>
      <scheme val="minor"/>
    </font>
    <font>
      <b/>
      <sz val="16.0"/>
      <color rgb="FFFFFFFF"/>
      <name val="Play"/>
    </font>
    <font>
      <i/>
      <sz val="9.0"/>
      <color rgb="FF627D98"/>
      <name val="Aptos"/>
    </font>
    <font>
      <sz val="10.0"/>
      <color rgb="FF102A43"/>
      <name val="Aptos"/>
    </font>
    <font>
      <b/>
      <sz val="10.0"/>
      <color rgb="FF102A43"/>
      <name val="Aptos"/>
    </font>
    <font>
      <sz val="10.0"/>
      <color rgb="FFF6F8F9"/>
      <name val="Aptos"/>
    </font>
    <font>
      <b/>
      <sz val="14.0"/>
      <color rgb="FF3E7CB1"/>
      <name val="Aptos"/>
    </font>
    <font>
      <b/>
      <color rgb="FFFFFFFF"/>
      <name val="Arial"/>
    </font>
    <font>
      <b/>
      <sz val="10.0"/>
      <color rgb="FFFFFFFF"/>
      <name val="Aptos"/>
    </font>
    <font>
      <b/>
      <color rgb="FFFFFFFF"/>
      <name val="Aptos"/>
    </font>
    <font>
      <color rgb="FF102A43"/>
      <name val="Arial"/>
    </font>
    <font>
      <color rgb="FF102A43"/>
      <name val="Aptos"/>
    </font>
    <font>
      <sz val="10.0"/>
      <color rgb="FFFFFFFF"/>
      <name val="Aptos"/>
    </font>
    <font>
      <sz val="11.0"/>
      <color theme="1"/>
      <name val="Carlito"/>
    </font>
    <font/>
    <font>
      <sz val="10.0"/>
      <color rgb="FFF6F8F9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243B53"/>
        <bgColor rgb="FF243B53"/>
      </patternFill>
    </fill>
    <fill>
      <patternFill patternType="solid">
        <fgColor rgb="FFEAF2F8"/>
        <bgColor rgb="FFEAF2F8"/>
      </patternFill>
    </fill>
    <fill>
      <patternFill patternType="solid">
        <fgColor rgb="FF102A43"/>
        <bgColor rgb="FF102A43"/>
      </patternFill>
    </fill>
    <fill>
      <patternFill patternType="solid">
        <fgColor rgb="FFFFFFFF"/>
        <bgColor rgb="FFFFFFFF"/>
      </patternFill>
    </fill>
    <fill>
      <patternFill patternType="solid">
        <fgColor rgb="FF3E7CB1"/>
        <bgColor rgb="FF3E7CB1"/>
      </patternFill>
    </fill>
    <fill>
      <patternFill patternType="solid">
        <fgColor rgb="FF0F395E"/>
        <bgColor rgb="FF0F395E"/>
      </patternFill>
    </fill>
    <fill>
      <patternFill patternType="solid">
        <fgColor rgb="FFF6F8F9"/>
        <bgColor rgb="FFF6F8F9"/>
      </patternFill>
    </fill>
    <fill>
      <patternFill patternType="solid">
        <fgColor theme="1"/>
        <bgColor theme="1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D9E2EC"/>
      </right>
    </border>
    <border>
      <left style="thin">
        <color rgb="FFD9E2EC"/>
      </left>
      <right style="thin">
        <color rgb="FFD9E2EC"/>
      </right>
    </border>
    <border>
      <left style="thin">
        <color rgb="FFD9E2EC"/>
      </lef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vertical="center"/>
    </xf>
    <xf borderId="1" fillId="4" fontId="5" numFmtId="0" xfId="0" applyAlignment="1" applyBorder="1" applyFill="1" applyFont="1">
      <alignment horizontal="center" readingOrder="0" shrinkToFit="0" vertical="center" wrapText="1"/>
    </xf>
    <xf borderId="1" fillId="5" fontId="6" numFmtId="0" xfId="0" applyAlignment="1" applyBorder="1" applyFill="1" applyFont="1">
      <alignment horizontal="center" vertical="center"/>
    </xf>
    <xf borderId="1" fillId="4" fontId="7" numFmtId="49" xfId="0" applyAlignment="1" applyBorder="1" applyFill="1" applyFont="1" applyNumberFormat="1">
      <alignment horizontal="center" readingOrder="0"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vertical="center"/>
    </xf>
    <xf borderId="0" fillId="2" fontId="1" numFmtId="0" xfId="0" applyAlignment="1" applyFill="1" applyFont="1">
      <alignment horizontal="left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2" fillId="7" fontId="5" numFmtId="0" xfId="0" applyAlignment="1" applyBorder="1" applyFill="1" applyFont="1">
      <alignment horizontal="center" shrinkToFit="0" vertical="center" wrapText="1"/>
    </xf>
    <xf borderId="2" fillId="8" fontId="10" numFmtId="0" xfId="0" applyAlignment="1" applyBorder="1" applyFill="1" applyFont="1">
      <alignment horizontal="center" readingOrder="0" shrinkToFit="0" vertical="center" wrapText="1"/>
    </xf>
    <xf borderId="1" fillId="6" fontId="8" numFmtId="0" xfId="0" applyAlignment="1" applyBorder="1" applyFill="1" applyFont="1">
      <alignment horizontal="center" readingOrder="0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1" fillId="9" fontId="12" numFmtId="0" xfId="0" applyAlignment="1" applyBorder="1" applyFill="1" applyFont="1">
      <alignment horizontal="center" readingOrder="0" shrinkToFit="0" vertical="center" wrapText="1"/>
    </xf>
    <xf borderId="1" fillId="8" fontId="10" numFmtId="0" xfId="0" applyAlignment="1" applyBorder="1" applyFill="1" applyFont="1">
      <alignment horizontal="center" readingOrder="0" shrinkToFit="0" vertical="center" wrapText="1"/>
    </xf>
    <xf borderId="1" fillId="8" fontId="11" numFmtId="0" xfId="0" applyAlignment="1" applyBorder="1" applyFill="1" applyFont="1">
      <alignment shrinkToFit="0" vertical="center" wrapText="1"/>
    </xf>
    <xf borderId="1" fillId="0" fontId="3" numFmtId="9" xfId="0" applyAlignment="1" applyBorder="1" applyFont="1" applyNumberFormat="1">
      <alignment vertical="center"/>
    </xf>
    <xf borderId="1" fillId="8" fontId="3" numFmtId="0" xfId="0" applyAlignment="1" applyBorder="1" applyFill="1" applyFont="1">
      <alignment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1" fillId="8" fontId="13" numFmtId="0" xfId="0" applyAlignment="1" applyBorder="1" applyFill="1" applyFont="1">
      <alignment vertical="center"/>
    </xf>
    <xf borderId="3" fillId="0" fontId="14" numFmtId="0" xfId="0" applyBorder="1" applyFont="1"/>
    <xf borderId="4" fillId="0" fontId="14" numFmtId="0" xfId="0" applyBorder="1" applyFont="1"/>
    <xf borderId="1" fillId="5" fontId="6" numFmtId="9" xfId="0" applyAlignment="1" applyBorder="1" applyFill="1" applyFont="1" applyNumberFormat="1">
      <alignment horizontal="center"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2" fillId="7" fontId="15" numFmtId="0" xfId="0" applyAlignment="1" applyBorder="1" applyFill="1" applyFont="1">
      <alignment horizontal="center" readingOrder="0" shrinkToFit="0" vertical="center" wrapText="1"/>
    </xf>
    <xf borderId="1" fillId="7" fontId="15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업무 규칙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사용자 권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개발 범위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코드 정의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15" displayName="BusinessRulesTable" name="BusinessRulesTable" id="1">
  <tableColumns count="5">
    <tableColumn name="규칙 ID" id="1"/>
    <tableColumn name="영역" id="2"/>
    <tableColumn name="규칙 내용" id="3"/>
    <tableColumn name="구현 기준" id="4"/>
    <tableColumn name="우선순위" id="5"/>
  </tableColumns>
  <tableStyleInfo name="업무 규칙-style" showColumnStripes="0" showFirstColumn="1" showLastColumn="1" showRowStripes="1"/>
</table>
</file>

<file path=xl/tables/table2.xml><?xml version="1.0" encoding="utf-8"?>
<table xmlns="http://schemas.openxmlformats.org/spreadsheetml/2006/main" ref="A3:H7" displayName="RolesTable" name="RolesTable" id="2">
  <tableColumns count="8">
    <tableColumn name="사용자 유형" id="1"/>
    <tableColumn name="책·랭킹 조회" id="2"/>
    <tableColumn name="평점·북마크" id="3"/>
    <tableColumn name="게시글·댓글" id="4"/>
    <tableColumn name="티어·이상형" id="5"/>
    <tableColumn name="책 등록 요청" id="6"/>
    <tableColumn name="관리자 기능" id="7"/>
    <tableColumn name="권한 설명" id="8"/>
  </tableColumns>
  <tableStyleInfo name="사용자 권한-style" showColumnStripes="0" showFirstColumn="1" showLastColumn="1" showRowStripes="1"/>
</table>
</file>

<file path=xl/tables/table3.xml><?xml version="1.0" encoding="utf-8"?>
<table xmlns="http://schemas.openxmlformats.org/spreadsheetml/2006/main" ref="A3:F15" displayName="ScopeTable" name="ScopeTable" id="3">
  <tableColumns count="6">
    <tableColumn name="개발 단계" id="1"/>
    <tableColumn name="우선순위" id="2"/>
    <tableColumn name="담당자" id="3"/>
    <tableColumn name="개발 범위" id="4"/>
    <tableColumn name="목적" id="5"/>
    <tableColumn name="완료 시점" id="6"/>
  </tableColumns>
  <tableStyleInfo name="개발 범위-style" showColumnStripes="0" showFirstColumn="1" showLastColumn="1" showRowStripes="1"/>
</table>
</file>

<file path=xl/tables/table4.xml><?xml version="1.0" encoding="utf-8"?>
<table xmlns="http://schemas.openxmlformats.org/spreadsheetml/2006/main" ref="A3:C24" displayName="CodesTable" name="CodesTable" id="4">
  <tableColumns count="3">
    <tableColumn name="필드" id="1"/>
    <tableColumn name="코드값" id="2"/>
    <tableColumn name="설명" id="3"/>
  </tableColumns>
  <tableStyleInfo name="코드 정의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" width="14.0"/>
    <col customWidth="1" min="3" max="4" width="20.0"/>
    <col customWidth="1" min="5" max="5" width="52.0"/>
    <col customWidth="1" min="6" max="6" width="14.0"/>
    <col customWidth="1" min="7" max="7" width="28.0"/>
    <col customWidth="1" min="8" max="8" width="36.0"/>
    <col customWidth="1" min="9" max="9" width="32.0"/>
    <col customWidth="1" min="10" max="10" width="12.0"/>
    <col customWidth="1" min="11" max="11" width="14.0"/>
    <col customWidth="1" min="12" max="12" width="40.0"/>
    <col customWidth="1" min="13" max="13" width="13.0"/>
    <col customWidth="1" min="14" max="14" width="26.0"/>
    <col customWidth="1" min="15" max="27" width="8.63"/>
  </cols>
  <sheetData>
    <row r="1" ht="33.75" customHeight="1">
      <c r="A1" s="1" t="s">
        <v>1</v>
      </c>
    </row>
    <row r="2" ht="24.0" customHeight="1">
      <c r="A2" s="2" t="s">
        <v>4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27.75" customHeight="1">
      <c r="A4" s="5" t="s">
        <v>5</v>
      </c>
      <c r="B4" s="5" t="s">
        <v>6</v>
      </c>
      <c r="C4" s="7" t="s">
        <v>7</v>
      </c>
      <c r="D4" s="9" t="s">
        <v>9</v>
      </c>
      <c r="E4" s="9" t="s">
        <v>14</v>
      </c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9" t="s">
        <v>8</v>
      </c>
      <c r="L4" s="9" t="s">
        <v>21</v>
      </c>
      <c r="M4" s="9" t="s">
        <v>22</v>
      </c>
      <c r="N4" s="9" t="s">
        <v>23</v>
      </c>
      <c r="O4" s="10" t="s">
        <v>24</v>
      </c>
      <c r="P4" s="10" t="s">
        <v>26</v>
      </c>
    </row>
    <row r="5" ht="43.5" customHeight="1">
      <c r="A5" s="13" t="s">
        <v>29</v>
      </c>
      <c r="B5" s="15" t="s">
        <v>30</v>
      </c>
      <c r="C5" s="16" t="s">
        <v>32</v>
      </c>
      <c r="D5" s="18" t="s">
        <v>32</v>
      </c>
      <c r="E5" s="20" t="s">
        <v>35</v>
      </c>
      <c r="F5" s="21" t="s">
        <v>40</v>
      </c>
      <c r="G5" s="21" t="s">
        <v>43</v>
      </c>
      <c r="H5" s="21" t="s">
        <v>44</v>
      </c>
      <c r="I5" s="21" t="s">
        <v>46</v>
      </c>
      <c r="J5" s="21" t="s">
        <v>11</v>
      </c>
      <c r="K5" s="21" t="s">
        <v>25</v>
      </c>
      <c r="L5" s="18" t="s">
        <v>59</v>
      </c>
      <c r="M5" s="18" t="s">
        <v>63</v>
      </c>
      <c r="N5" s="21"/>
      <c r="O5" s="24"/>
      <c r="P5" s="25"/>
    </row>
    <row r="6" ht="43.5" customHeight="1">
      <c r="A6" s="13" t="s">
        <v>70</v>
      </c>
      <c r="B6" s="26"/>
      <c r="C6" s="26"/>
      <c r="D6" s="18" t="s">
        <v>72</v>
      </c>
      <c r="E6" s="20" t="s">
        <v>73</v>
      </c>
      <c r="F6" s="21" t="s">
        <v>40</v>
      </c>
      <c r="G6" s="21" t="s">
        <v>74</v>
      </c>
      <c r="H6" s="21" t="s">
        <v>75</v>
      </c>
      <c r="I6" s="21" t="s">
        <v>76</v>
      </c>
      <c r="J6" s="21" t="s">
        <v>11</v>
      </c>
      <c r="K6" s="21" t="s">
        <v>25</v>
      </c>
      <c r="L6" s="18" t="s">
        <v>79</v>
      </c>
      <c r="M6" s="18" t="s">
        <v>63</v>
      </c>
      <c r="N6" s="21"/>
      <c r="O6" s="24"/>
      <c r="P6" s="25"/>
    </row>
    <row r="7" ht="43.5" customHeight="1">
      <c r="A7" s="13" t="s">
        <v>82</v>
      </c>
      <c r="B7" s="26"/>
      <c r="C7" s="27"/>
      <c r="D7" s="18" t="s">
        <v>85</v>
      </c>
      <c r="E7" s="18" t="s">
        <v>86</v>
      </c>
      <c r="F7" s="21" t="s">
        <v>40</v>
      </c>
      <c r="G7" s="21" t="s">
        <v>87</v>
      </c>
      <c r="H7" s="21" t="s">
        <v>88</v>
      </c>
      <c r="I7" s="21" t="s">
        <v>76</v>
      </c>
      <c r="J7" s="21" t="s">
        <v>11</v>
      </c>
      <c r="K7" s="21" t="s">
        <v>25</v>
      </c>
      <c r="L7" s="18" t="s">
        <v>90</v>
      </c>
      <c r="M7" s="18" t="s">
        <v>63</v>
      </c>
      <c r="N7" s="21"/>
      <c r="O7" s="24"/>
      <c r="P7" s="25"/>
    </row>
    <row r="8" ht="43.5" customHeight="1">
      <c r="A8" s="13" t="s">
        <v>92</v>
      </c>
      <c r="B8" s="26"/>
      <c r="C8" s="16" t="s">
        <v>94</v>
      </c>
      <c r="D8" s="18" t="s">
        <v>94</v>
      </c>
      <c r="E8" s="18" t="s">
        <v>96</v>
      </c>
      <c r="F8" s="21" t="s">
        <v>40</v>
      </c>
      <c r="G8" s="21" t="s">
        <v>99</v>
      </c>
      <c r="H8" s="21" t="s">
        <v>100</v>
      </c>
      <c r="I8" s="21" t="s">
        <v>101</v>
      </c>
      <c r="J8" s="21" t="s">
        <v>11</v>
      </c>
      <c r="K8" s="21" t="s">
        <v>25</v>
      </c>
      <c r="L8" s="18" t="s">
        <v>103</v>
      </c>
      <c r="M8" s="18" t="s">
        <v>63</v>
      </c>
      <c r="N8" s="21"/>
      <c r="O8" s="24"/>
      <c r="P8" s="25"/>
    </row>
    <row r="9" ht="43.5" customHeight="1">
      <c r="A9" s="13" t="s">
        <v>104</v>
      </c>
      <c r="B9" s="26"/>
      <c r="C9" s="26"/>
      <c r="D9" s="18" t="s">
        <v>106</v>
      </c>
      <c r="E9" s="18" t="s">
        <v>107</v>
      </c>
      <c r="F9" s="21" t="s">
        <v>30</v>
      </c>
      <c r="G9" s="21" t="s">
        <v>108</v>
      </c>
      <c r="H9" s="21" t="s">
        <v>109</v>
      </c>
      <c r="I9" s="21" t="s">
        <v>111</v>
      </c>
      <c r="J9" s="21" t="s">
        <v>11</v>
      </c>
      <c r="K9" s="21" t="s">
        <v>25</v>
      </c>
      <c r="L9" s="18" t="s">
        <v>113</v>
      </c>
      <c r="M9" s="18" t="s">
        <v>63</v>
      </c>
      <c r="N9" s="21"/>
      <c r="O9" s="24"/>
      <c r="P9" s="25"/>
    </row>
    <row r="10" ht="43.5" customHeight="1">
      <c r="A10" s="13" t="s">
        <v>116</v>
      </c>
      <c r="B10" s="26"/>
      <c r="C10" s="27"/>
      <c r="D10" s="18" t="s">
        <v>117</v>
      </c>
      <c r="E10" s="18" t="s">
        <v>118</v>
      </c>
      <c r="F10" s="21" t="s">
        <v>30</v>
      </c>
      <c r="G10" s="21" t="s">
        <v>120</v>
      </c>
      <c r="H10" s="21" t="s">
        <v>121</v>
      </c>
      <c r="I10" s="21" t="s">
        <v>122</v>
      </c>
      <c r="J10" s="21" t="s">
        <v>11</v>
      </c>
      <c r="K10" s="21" t="s">
        <v>25</v>
      </c>
      <c r="L10" s="18" t="s">
        <v>124</v>
      </c>
      <c r="M10" s="18" t="s">
        <v>63</v>
      </c>
      <c r="N10" s="21"/>
      <c r="O10" s="24"/>
      <c r="P10" s="25"/>
    </row>
    <row r="11" ht="43.5" customHeight="1">
      <c r="A11" s="13" t="s">
        <v>125</v>
      </c>
      <c r="B11" s="26"/>
      <c r="C11" s="16" t="s">
        <v>126</v>
      </c>
      <c r="D11" s="18" t="s">
        <v>126</v>
      </c>
      <c r="E11" s="18" t="s">
        <v>128</v>
      </c>
      <c r="F11" s="21" t="s">
        <v>30</v>
      </c>
      <c r="G11" s="21" t="s">
        <v>130</v>
      </c>
      <c r="H11" s="21" t="s">
        <v>131</v>
      </c>
      <c r="I11" s="21" t="s">
        <v>132</v>
      </c>
      <c r="J11" s="21" t="s">
        <v>134</v>
      </c>
      <c r="K11" s="21" t="s">
        <v>25</v>
      </c>
      <c r="L11" s="18" t="s">
        <v>135</v>
      </c>
      <c r="M11" s="18" t="s">
        <v>63</v>
      </c>
      <c r="N11" s="21"/>
      <c r="O11" s="24"/>
      <c r="P11" s="25"/>
    </row>
    <row r="12" ht="43.5" customHeight="1">
      <c r="A12" s="13" t="s">
        <v>136</v>
      </c>
      <c r="B12" s="26"/>
      <c r="C12" s="26"/>
      <c r="D12" s="18" t="s">
        <v>138</v>
      </c>
      <c r="E12" s="18" t="s">
        <v>140</v>
      </c>
      <c r="F12" s="21" t="s">
        <v>30</v>
      </c>
      <c r="G12" s="21" t="s">
        <v>141</v>
      </c>
      <c r="H12" s="21" t="s">
        <v>142</v>
      </c>
      <c r="I12" s="21" t="s">
        <v>143</v>
      </c>
      <c r="J12" s="21" t="s">
        <v>134</v>
      </c>
      <c r="K12" s="21" t="s">
        <v>25</v>
      </c>
      <c r="L12" s="18" t="s">
        <v>144</v>
      </c>
      <c r="M12" s="18" t="s">
        <v>63</v>
      </c>
      <c r="N12" s="21"/>
      <c r="O12" s="24"/>
      <c r="P12" s="25"/>
    </row>
    <row r="13" ht="43.5" customHeight="1">
      <c r="A13" s="13" t="s">
        <v>146</v>
      </c>
      <c r="B13" s="27"/>
      <c r="C13" s="27"/>
      <c r="D13" s="18" t="s">
        <v>147</v>
      </c>
      <c r="E13" s="18" t="s">
        <v>148</v>
      </c>
      <c r="F13" s="21" t="s">
        <v>30</v>
      </c>
      <c r="G13" s="21" t="s">
        <v>149</v>
      </c>
      <c r="H13" s="21" t="s">
        <v>151</v>
      </c>
      <c r="I13" s="21" t="s">
        <v>152</v>
      </c>
      <c r="J13" s="21" t="s">
        <v>112</v>
      </c>
      <c r="K13" s="21" t="s">
        <v>25</v>
      </c>
      <c r="L13" s="18" t="s">
        <v>154</v>
      </c>
      <c r="M13" s="18" t="s">
        <v>63</v>
      </c>
      <c r="N13" s="21"/>
      <c r="O13" s="24"/>
      <c r="P13" s="25"/>
    </row>
    <row r="14" ht="43.5" customHeight="1">
      <c r="A14" s="13" t="s">
        <v>155</v>
      </c>
      <c r="B14" s="32" t="s">
        <v>67</v>
      </c>
      <c r="C14" s="16" t="s">
        <v>158</v>
      </c>
      <c r="D14" s="18" t="s">
        <v>161</v>
      </c>
      <c r="E14" s="18" t="s">
        <v>162</v>
      </c>
      <c r="F14" s="21" t="s">
        <v>10</v>
      </c>
      <c r="G14" s="21" t="s">
        <v>163</v>
      </c>
      <c r="H14" s="21" t="s">
        <v>164</v>
      </c>
      <c r="I14" s="21" t="s">
        <v>165</v>
      </c>
      <c r="J14" s="21" t="s">
        <v>11</v>
      </c>
      <c r="K14" s="21" t="s">
        <v>51</v>
      </c>
      <c r="L14" s="18" t="s">
        <v>167</v>
      </c>
      <c r="M14" s="18" t="s">
        <v>63</v>
      </c>
      <c r="N14" s="21"/>
      <c r="O14" s="24"/>
      <c r="P14" s="25"/>
    </row>
    <row r="15" ht="43.5" customHeight="1">
      <c r="A15" s="13" t="s">
        <v>168</v>
      </c>
      <c r="B15" s="26"/>
      <c r="C15" s="26"/>
      <c r="D15" s="18" t="s">
        <v>170</v>
      </c>
      <c r="E15" s="18" t="s">
        <v>171</v>
      </c>
      <c r="F15" s="21" t="s">
        <v>10</v>
      </c>
      <c r="G15" s="21" t="s">
        <v>149</v>
      </c>
      <c r="H15" s="21" t="s">
        <v>173</v>
      </c>
      <c r="I15" s="21" t="s">
        <v>174</v>
      </c>
      <c r="J15" s="21" t="s">
        <v>11</v>
      </c>
      <c r="K15" s="21" t="s">
        <v>51</v>
      </c>
      <c r="L15" s="18" t="s">
        <v>175</v>
      </c>
      <c r="M15" s="18" t="s">
        <v>63</v>
      </c>
      <c r="N15" s="21"/>
      <c r="O15" s="24"/>
      <c r="P15" s="25"/>
    </row>
    <row r="16" ht="43.5" customHeight="1">
      <c r="A16" s="13" t="s">
        <v>177</v>
      </c>
      <c r="B16" s="26"/>
      <c r="C16" s="26"/>
      <c r="D16" s="18" t="s">
        <v>158</v>
      </c>
      <c r="E16" s="18" t="s">
        <v>179</v>
      </c>
      <c r="F16" s="21" t="s">
        <v>10</v>
      </c>
      <c r="G16" s="21" t="s">
        <v>180</v>
      </c>
      <c r="H16" s="21" t="s">
        <v>181</v>
      </c>
      <c r="I16" s="21" t="s">
        <v>183</v>
      </c>
      <c r="J16" s="21" t="s">
        <v>11</v>
      </c>
      <c r="K16" s="21" t="s">
        <v>51</v>
      </c>
      <c r="L16" s="18" t="s">
        <v>185</v>
      </c>
      <c r="M16" s="18" t="s">
        <v>63</v>
      </c>
      <c r="N16" s="21"/>
      <c r="O16" s="24"/>
      <c r="P16" s="25"/>
    </row>
    <row r="17" ht="43.5" customHeight="1">
      <c r="A17" s="13" t="s">
        <v>186</v>
      </c>
      <c r="B17" s="26"/>
      <c r="C17" s="16" t="s">
        <v>187</v>
      </c>
      <c r="D17" s="18" t="s">
        <v>41</v>
      </c>
      <c r="E17" s="18" t="s">
        <v>188</v>
      </c>
      <c r="F17" s="21" t="s">
        <v>189</v>
      </c>
      <c r="G17" s="21" t="s">
        <v>190</v>
      </c>
      <c r="H17" s="21" t="s">
        <v>191</v>
      </c>
      <c r="I17" s="21" t="s">
        <v>192</v>
      </c>
      <c r="J17" s="21" t="s">
        <v>134</v>
      </c>
      <c r="K17" s="21" t="s">
        <v>51</v>
      </c>
      <c r="L17" s="18" t="s">
        <v>193</v>
      </c>
      <c r="M17" s="18" t="s">
        <v>63</v>
      </c>
      <c r="N17" s="21"/>
      <c r="O17" s="24"/>
      <c r="P17" s="25"/>
    </row>
    <row r="18" ht="43.5" customHeight="1">
      <c r="A18" s="13" t="s">
        <v>194</v>
      </c>
      <c r="B18" s="26"/>
      <c r="C18" s="26"/>
      <c r="D18" s="18" t="s">
        <v>196</v>
      </c>
      <c r="E18" s="18" t="s">
        <v>197</v>
      </c>
      <c r="F18" s="21" t="s">
        <v>198</v>
      </c>
      <c r="G18" s="21" t="s">
        <v>199</v>
      </c>
      <c r="H18" s="21" t="s">
        <v>200</v>
      </c>
      <c r="I18" s="21" t="s">
        <v>201</v>
      </c>
      <c r="J18" s="21" t="s">
        <v>11</v>
      </c>
      <c r="K18" s="21" t="s">
        <v>202</v>
      </c>
      <c r="L18" s="18" t="s">
        <v>203</v>
      </c>
      <c r="M18" s="18" t="s">
        <v>63</v>
      </c>
      <c r="N18" s="21"/>
      <c r="O18" s="24"/>
      <c r="P18" s="25"/>
    </row>
    <row r="19" ht="43.5" customHeight="1">
      <c r="A19" s="13" t="s">
        <v>204</v>
      </c>
      <c r="B19" s="27"/>
      <c r="C19" s="27"/>
      <c r="D19" s="18" t="s">
        <v>205</v>
      </c>
      <c r="E19" s="18" t="s">
        <v>206</v>
      </c>
      <c r="F19" s="21" t="s">
        <v>207</v>
      </c>
      <c r="G19" s="21" t="s">
        <v>208</v>
      </c>
      <c r="H19" s="21" t="s">
        <v>209</v>
      </c>
      <c r="I19" s="21" t="s">
        <v>210</v>
      </c>
      <c r="J19" s="21" t="s">
        <v>134</v>
      </c>
      <c r="K19" s="21" t="s">
        <v>202</v>
      </c>
      <c r="L19" s="18" t="s">
        <v>211</v>
      </c>
      <c r="M19" s="18" t="s">
        <v>63</v>
      </c>
      <c r="N19" s="21"/>
      <c r="O19" s="24"/>
      <c r="P19" s="25"/>
    </row>
    <row r="20" ht="43.5" customHeight="1">
      <c r="A20" s="13" t="s">
        <v>212</v>
      </c>
      <c r="B20" s="15" t="s">
        <v>160</v>
      </c>
      <c r="C20" s="16" t="s">
        <v>213</v>
      </c>
      <c r="D20" s="18" t="s">
        <v>214</v>
      </c>
      <c r="E20" s="18" t="s">
        <v>215</v>
      </c>
      <c r="F20" s="21" t="s">
        <v>30</v>
      </c>
      <c r="G20" s="21" t="s">
        <v>216</v>
      </c>
      <c r="H20" s="21" t="s">
        <v>217</v>
      </c>
      <c r="I20" s="21" t="s">
        <v>218</v>
      </c>
      <c r="J20" s="21" t="s">
        <v>11</v>
      </c>
      <c r="K20" s="21" t="s">
        <v>51</v>
      </c>
      <c r="L20" s="18" t="s">
        <v>219</v>
      </c>
      <c r="M20" s="18" t="s">
        <v>63</v>
      </c>
      <c r="N20" s="21"/>
      <c r="O20" s="24"/>
      <c r="P20" s="25"/>
    </row>
    <row r="21" ht="43.5" customHeight="1">
      <c r="A21" s="13" t="s">
        <v>220</v>
      </c>
      <c r="B21" s="26"/>
      <c r="C21" s="26"/>
      <c r="D21" s="18" t="s">
        <v>221</v>
      </c>
      <c r="E21" s="18" t="s">
        <v>222</v>
      </c>
      <c r="F21" s="21" t="s">
        <v>30</v>
      </c>
      <c r="G21" s="21" t="s">
        <v>223</v>
      </c>
      <c r="H21" s="21" t="s">
        <v>224</v>
      </c>
      <c r="I21" s="21" t="s">
        <v>225</v>
      </c>
      <c r="J21" s="21" t="s">
        <v>11</v>
      </c>
      <c r="K21" s="21" t="s">
        <v>51</v>
      </c>
      <c r="L21" s="18" t="s">
        <v>227</v>
      </c>
      <c r="M21" s="18" t="s">
        <v>63</v>
      </c>
      <c r="N21" s="21"/>
      <c r="O21" s="24"/>
      <c r="P21" s="25"/>
    </row>
    <row r="22" ht="43.5" customHeight="1">
      <c r="A22" s="13" t="s">
        <v>228</v>
      </c>
      <c r="B22" s="26"/>
      <c r="C22" s="26"/>
      <c r="D22" s="18" t="s">
        <v>229</v>
      </c>
      <c r="E22" s="18" t="s">
        <v>230</v>
      </c>
      <c r="F22" s="21" t="s">
        <v>30</v>
      </c>
      <c r="G22" s="21" t="s">
        <v>231</v>
      </c>
      <c r="H22" s="21" t="s">
        <v>232</v>
      </c>
      <c r="I22" s="21" t="s">
        <v>233</v>
      </c>
      <c r="J22" s="21" t="s">
        <v>11</v>
      </c>
      <c r="K22" s="21" t="s">
        <v>51</v>
      </c>
      <c r="L22" s="18" t="s">
        <v>234</v>
      </c>
      <c r="M22" s="18" t="s">
        <v>63</v>
      </c>
      <c r="N22" s="21"/>
      <c r="O22" s="24"/>
      <c r="P22" s="25"/>
    </row>
    <row r="23" ht="43.5" customHeight="1">
      <c r="A23" s="13" t="s">
        <v>235</v>
      </c>
      <c r="B23" s="26"/>
      <c r="C23" s="26"/>
      <c r="D23" s="18" t="s">
        <v>236</v>
      </c>
      <c r="E23" s="18" t="s">
        <v>237</v>
      </c>
      <c r="F23" s="21" t="s">
        <v>30</v>
      </c>
      <c r="G23" s="21" t="s">
        <v>238</v>
      </c>
      <c r="H23" s="21" t="s">
        <v>239</v>
      </c>
      <c r="I23" s="21" t="s">
        <v>240</v>
      </c>
      <c r="J23" s="21" t="s">
        <v>11</v>
      </c>
      <c r="K23" s="21" t="s">
        <v>51</v>
      </c>
      <c r="L23" s="18" t="s">
        <v>241</v>
      </c>
      <c r="M23" s="18" t="s">
        <v>63</v>
      </c>
      <c r="N23" s="21"/>
      <c r="O23" s="24"/>
      <c r="P23" s="25"/>
    </row>
    <row r="24" ht="43.5" customHeight="1">
      <c r="A24" s="13" t="s">
        <v>242</v>
      </c>
      <c r="B24" s="26"/>
      <c r="C24" s="26"/>
      <c r="D24" s="18" t="s">
        <v>243</v>
      </c>
      <c r="E24" s="18" t="s">
        <v>244</v>
      </c>
      <c r="F24" s="21" t="s">
        <v>10</v>
      </c>
      <c r="G24" s="21" t="s">
        <v>245</v>
      </c>
      <c r="H24" s="21" t="s">
        <v>246</v>
      </c>
      <c r="I24" s="21" t="s">
        <v>247</v>
      </c>
      <c r="J24" s="21" t="s">
        <v>11</v>
      </c>
      <c r="K24" s="21" t="s">
        <v>51</v>
      </c>
      <c r="L24" s="18" t="s">
        <v>248</v>
      </c>
      <c r="M24" s="18" t="s">
        <v>63</v>
      </c>
      <c r="N24" s="21"/>
      <c r="O24" s="24"/>
      <c r="P24" s="25"/>
    </row>
    <row r="25" ht="43.5" customHeight="1">
      <c r="A25" s="33" t="s">
        <v>249</v>
      </c>
      <c r="B25" s="26"/>
      <c r="C25" s="27"/>
      <c r="D25" s="18" t="s">
        <v>250</v>
      </c>
      <c r="E25" s="18" t="s">
        <v>251</v>
      </c>
      <c r="F25" s="21" t="s">
        <v>10</v>
      </c>
      <c r="G25" s="21" t="s">
        <v>149</v>
      </c>
      <c r="H25" s="21" t="s">
        <v>252</v>
      </c>
      <c r="I25" s="21" t="s">
        <v>253</v>
      </c>
      <c r="J25" s="21" t="s">
        <v>112</v>
      </c>
      <c r="K25" s="21" t="s">
        <v>51</v>
      </c>
      <c r="L25" s="18" t="s">
        <v>254</v>
      </c>
      <c r="M25" s="18" t="s">
        <v>63</v>
      </c>
      <c r="N25" s="21"/>
      <c r="O25" s="24"/>
      <c r="P25" s="25"/>
    </row>
    <row r="26" ht="43.5" customHeight="1">
      <c r="A26" s="33" t="s">
        <v>255</v>
      </c>
      <c r="B26" s="26"/>
      <c r="C26" s="20" t="s">
        <v>256</v>
      </c>
      <c r="D26" s="18" t="s">
        <v>257</v>
      </c>
      <c r="E26" s="18" t="s">
        <v>258</v>
      </c>
      <c r="F26" s="21" t="s">
        <v>10</v>
      </c>
      <c r="G26" s="21" t="s">
        <v>260</v>
      </c>
      <c r="H26" s="21" t="s">
        <v>261</v>
      </c>
      <c r="I26" s="21" t="s">
        <v>262</v>
      </c>
      <c r="J26" s="21" t="s">
        <v>134</v>
      </c>
      <c r="K26" s="21" t="s">
        <v>51</v>
      </c>
      <c r="L26" s="18" t="s">
        <v>263</v>
      </c>
      <c r="M26" s="18" t="s">
        <v>63</v>
      </c>
      <c r="N26" s="21"/>
      <c r="O26" s="24"/>
      <c r="P26" s="25"/>
    </row>
    <row r="27" ht="43.5" customHeight="1">
      <c r="A27" s="13" t="s">
        <v>264</v>
      </c>
      <c r="B27" s="15" t="s">
        <v>115</v>
      </c>
      <c r="C27" s="16" t="s">
        <v>266</v>
      </c>
      <c r="D27" s="18" t="s">
        <v>267</v>
      </c>
      <c r="E27" s="18" t="s">
        <v>268</v>
      </c>
      <c r="F27" s="21" t="s">
        <v>30</v>
      </c>
      <c r="G27" s="21" t="s">
        <v>270</v>
      </c>
      <c r="H27" s="21" t="s">
        <v>271</v>
      </c>
      <c r="I27" s="21" t="s">
        <v>272</v>
      </c>
      <c r="J27" s="21" t="s">
        <v>112</v>
      </c>
      <c r="K27" s="21" t="s">
        <v>51</v>
      </c>
      <c r="L27" s="18" t="s">
        <v>274</v>
      </c>
      <c r="M27" s="18" t="s">
        <v>63</v>
      </c>
      <c r="N27" s="21"/>
      <c r="O27" s="24"/>
      <c r="P27" s="25"/>
    </row>
    <row r="28" ht="43.5" customHeight="1">
      <c r="A28" s="33" t="s">
        <v>276</v>
      </c>
      <c r="B28" s="26"/>
      <c r="C28" s="26"/>
      <c r="D28" s="18" t="s">
        <v>277</v>
      </c>
      <c r="E28" s="18" t="s">
        <v>278</v>
      </c>
      <c r="F28" s="21" t="s">
        <v>30</v>
      </c>
      <c r="G28" s="21" t="s">
        <v>279</v>
      </c>
      <c r="H28" s="21" t="s">
        <v>280</v>
      </c>
      <c r="I28" s="21" t="s">
        <v>281</v>
      </c>
      <c r="J28" s="21" t="s">
        <v>112</v>
      </c>
      <c r="K28" s="21" t="s">
        <v>51</v>
      </c>
      <c r="L28" s="18" t="s">
        <v>282</v>
      </c>
      <c r="M28" s="18" t="s">
        <v>63</v>
      </c>
      <c r="N28" s="21"/>
      <c r="O28" s="24"/>
      <c r="P28" s="25"/>
    </row>
    <row r="29" ht="43.5" customHeight="1">
      <c r="A29" s="33" t="s">
        <v>283</v>
      </c>
      <c r="B29" s="26"/>
      <c r="C29" s="26"/>
      <c r="D29" s="18" t="s">
        <v>284</v>
      </c>
      <c r="E29" s="18" t="s">
        <v>285</v>
      </c>
      <c r="F29" s="21" t="s">
        <v>30</v>
      </c>
      <c r="G29" s="21" t="s">
        <v>286</v>
      </c>
      <c r="H29" s="21" t="s">
        <v>288</v>
      </c>
      <c r="I29" s="21" t="s">
        <v>289</v>
      </c>
      <c r="J29" s="21" t="s">
        <v>112</v>
      </c>
      <c r="K29" s="21" t="s">
        <v>51</v>
      </c>
      <c r="L29" s="18" t="s">
        <v>291</v>
      </c>
      <c r="M29" s="18" t="s">
        <v>63</v>
      </c>
      <c r="N29" s="21"/>
      <c r="O29" s="24"/>
      <c r="P29" s="25"/>
    </row>
    <row r="30" ht="43.5" customHeight="1">
      <c r="A30" s="13" t="s">
        <v>293</v>
      </c>
      <c r="B30" s="26"/>
      <c r="C30" s="26"/>
      <c r="D30" s="18" t="s">
        <v>294</v>
      </c>
      <c r="E30" s="18" t="s">
        <v>295</v>
      </c>
      <c r="F30" s="21" t="s">
        <v>30</v>
      </c>
      <c r="G30" s="21" t="s">
        <v>296</v>
      </c>
      <c r="H30" s="21" t="s">
        <v>297</v>
      </c>
      <c r="I30" s="21" t="s">
        <v>298</v>
      </c>
      <c r="J30" s="21" t="s">
        <v>112</v>
      </c>
      <c r="K30" s="21" t="s">
        <v>51</v>
      </c>
      <c r="L30" s="18" t="s">
        <v>299</v>
      </c>
      <c r="M30" s="18" t="s">
        <v>63</v>
      </c>
      <c r="N30" s="21"/>
      <c r="O30" s="24"/>
      <c r="P30" s="25"/>
    </row>
    <row r="31" ht="43.5" customHeight="1">
      <c r="A31" s="13" t="s">
        <v>300</v>
      </c>
      <c r="B31" s="27"/>
      <c r="C31" s="27"/>
      <c r="D31" s="18" t="s">
        <v>302</v>
      </c>
      <c r="E31" s="18" t="s">
        <v>303</v>
      </c>
      <c r="F31" s="21" t="s">
        <v>30</v>
      </c>
      <c r="G31" s="21" t="s">
        <v>304</v>
      </c>
      <c r="H31" s="21" t="s">
        <v>305</v>
      </c>
      <c r="I31" s="21" t="s">
        <v>306</v>
      </c>
      <c r="J31" s="21" t="s">
        <v>112</v>
      </c>
      <c r="K31" s="21" t="s">
        <v>51</v>
      </c>
      <c r="L31" s="18" t="s">
        <v>308</v>
      </c>
      <c r="M31" s="18" t="s">
        <v>63</v>
      </c>
      <c r="N31" s="21"/>
      <c r="O31" s="24"/>
      <c r="P31" s="25"/>
    </row>
    <row r="32" ht="43.5" customHeight="1">
      <c r="A32" s="13" t="s">
        <v>309</v>
      </c>
      <c r="B32" s="15" t="s">
        <v>195</v>
      </c>
      <c r="C32" s="16" t="s">
        <v>310</v>
      </c>
      <c r="D32" s="18" t="s">
        <v>311</v>
      </c>
      <c r="E32" s="20" t="s">
        <v>313</v>
      </c>
      <c r="F32" s="21" t="s">
        <v>30</v>
      </c>
      <c r="G32" s="21" t="s">
        <v>314</v>
      </c>
      <c r="H32" s="21" t="s">
        <v>315</v>
      </c>
      <c r="I32" s="21" t="s">
        <v>316</v>
      </c>
      <c r="J32" s="21" t="s">
        <v>112</v>
      </c>
      <c r="K32" s="21" t="s">
        <v>51</v>
      </c>
      <c r="L32" s="18" t="s">
        <v>318</v>
      </c>
      <c r="M32" s="18" t="s">
        <v>63</v>
      </c>
      <c r="N32" s="21"/>
      <c r="O32" s="24"/>
      <c r="P32" s="25"/>
    </row>
    <row r="33" ht="43.5" customHeight="1">
      <c r="A33" s="13" t="s">
        <v>319</v>
      </c>
      <c r="B33" s="26"/>
      <c r="C33" s="27"/>
      <c r="D33" s="18" t="s">
        <v>320</v>
      </c>
      <c r="E33" s="18" t="s">
        <v>321</v>
      </c>
      <c r="F33" s="21" t="s">
        <v>30</v>
      </c>
      <c r="G33" s="21" t="s">
        <v>322</v>
      </c>
      <c r="H33" s="21" t="s">
        <v>323</v>
      </c>
      <c r="I33" s="21" t="s">
        <v>324</v>
      </c>
      <c r="J33" s="21" t="s">
        <v>112</v>
      </c>
      <c r="K33" s="21" t="s">
        <v>51</v>
      </c>
      <c r="L33" s="18" t="s">
        <v>325</v>
      </c>
      <c r="M33" s="18" t="s">
        <v>63</v>
      </c>
      <c r="N33" s="21"/>
      <c r="O33" s="24"/>
      <c r="P33" s="25"/>
    </row>
    <row r="34" ht="43.5" customHeight="1">
      <c r="A34" s="13" t="s">
        <v>326</v>
      </c>
      <c r="B34" s="26"/>
      <c r="C34" s="16" t="s">
        <v>328</v>
      </c>
      <c r="D34" s="18" t="s">
        <v>330</v>
      </c>
      <c r="E34" s="18" t="s">
        <v>331</v>
      </c>
      <c r="F34" s="21" t="s">
        <v>30</v>
      </c>
      <c r="G34" s="21" t="s">
        <v>332</v>
      </c>
      <c r="H34" s="21" t="s">
        <v>333</v>
      </c>
      <c r="I34" s="21" t="s">
        <v>335</v>
      </c>
      <c r="J34" s="21" t="s">
        <v>112</v>
      </c>
      <c r="K34" s="21" t="s">
        <v>51</v>
      </c>
      <c r="L34" s="18" t="s">
        <v>336</v>
      </c>
      <c r="M34" s="18" t="s">
        <v>63</v>
      </c>
      <c r="N34" s="21"/>
      <c r="O34" s="24"/>
      <c r="P34" s="25"/>
    </row>
    <row r="35" ht="43.5" customHeight="1">
      <c r="A35" s="13" t="s">
        <v>337</v>
      </c>
      <c r="B35" s="27"/>
      <c r="C35" s="27"/>
      <c r="D35" s="18" t="s">
        <v>338</v>
      </c>
      <c r="E35" s="18" t="s">
        <v>339</v>
      </c>
      <c r="F35" s="21" t="s">
        <v>10</v>
      </c>
      <c r="G35" s="21" t="s">
        <v>340</v>
      </c>
      <c r="H35" s="21" t="s">
        <v>341</v>
      </c>
      <c r="I35" s="21" t="s">
        <v>342</v>
      </c>
      <c r="J35" s="21" t="s">
        <v>112</v>
      </c>
      <c r="K35" s="21" t="s">
        <v>51</v>
      </c>
      <c r="L35" s="18" t="s">
        <v>343</v>
      </c>
      <c r="M35" s="18" t="s">
        <v>63</v>
      </c>
      <c r="N35" s="21"/>
      <c r="O35" s="24"/>
      <c r="P35" s="25"/>
    </row>
    <row r="36" ht="43.5" customHeight="1">
      <c r="A36" s="13" t="s">
        <v>345</v>
      </c>
      <c r="B36" s="15" t="s">
        <v>78</v>
      </c>
      <c r="C36" s="16" t="s">
        <v>348</v>
      </c>
      <c r="D36" s="18" t="s">
        <v>350</v>
      </c>
      <c r="E36" s="18" t="s">
        <v>351</v>
      </c>
      <c r="F36" s="21" t="s">
        <v>10</v>
      </c>
      <c r="G36" s="21" t="s">
        <v>352</v>
      </c>
      <c r="H36" s="21" t="s">
        <v>353</v>
      </c>
      <c r="I36" s="21" t="s">
        <v>354</v>
      </c>
      <c r="J36" s="21" t="s">
        <v>11</v>
      </c>
      <c r="K36" s="21" t="s">
        <v>64</v>
      </c>
      <c r="L36" s="18" t="s">
        <v>356</v>
      </c>
      <c r="M36" s="18" t="s">
        <v>63</v>
      </c>
      <c r="N36" s="21"/>
      <c r="O36" s="24"/>
      <c r="P36" s="25"/>
    </row>
    <row r="37" ht="43.5" customHeight="1">
      <c r="A37" s="33" t="s">
        <v>358</v>
      </c>
      <c r="B37" s="26"/>
      <c r="C37" s="26"/>
      <c r="D37" s="18" t="s">
        <v>359</v>
      </c>
      <c r="E37" s="18" t="s">
        <v>360</v>
      </c>
      <c r="F37" s="21" t="s">
        <v>10</v>
      </c>
      <c r="G37" s="21" t="s">
        <v>362</v>
      </c>
      <c r="H37" s="21" t="s">
        <v>363</v>
      </c>
      <c r="I37" s="21" t="s">
        <v>183</v>
      </c>
      <c r="J37" s="21" t="s">
        <v>134</v>
      </c>
      <c r="K37" s="21" t="s">
        <v>64</v>
      </c>
      <c r="L37" s="18" t="s">
        <v>366</v>
      </c>
      <c r="M37" s="18" t="s">
        <v>63</v>
      </c>
      <c r="N37" s="21"/>
      <c r="O37" s="24"/>
      <c r="P37" s="25"/>
    </row>
    <row r="38" ht="43.5" customHeight="1">
      <c r="A38" s="33" t="s">
        <v>368</v>
      </c>
      <c r="B38" s="26"/>
      <c r="C38" s="27"/>
      <c r="D38" s="18" t="s">
        <v>369</v>
      </c>
      <c r="E38" s="18" t="s">
        <v>370</v>
      </c>
      <c r="F38" s="21" t="s">
        <v>10</v>
      </c>
      <c r="G38" s="21" t="s">
        <v>371</v>
      </c>
      <c r="H38" s="21" t="s">
        <v>372</v>
      </c>
      <c r="I38" s="21" t="s">
        <v>373</v>
      </c>
      <c r="J38" s="21" t="s">
        <v>134</v>
      </c>
      <c r="K38" s="21" t="s">
        <v>64</v>
      </c>
      <c r="L38" s="18" t="s">
        <v>376</v>
      </c>
      <c r="M38" s="18" t="s">
        <v>63</v>
      </c>
      <c r="N38" s="21"/>
      <c r="O38" s="24"/>
      <c r="P38" s="25"/>
    </row>
    <row r="39" ht="43.5" customHeight="1">
      <c r="A39" s="33" t="s">
        <v>378</v>
      </c>
      <c r="B39" s="26"/>
      <c r="C39" s="16" t="s">
        <v>379</v>
      </c>
      <c r="D39" s="18" t="s">
        <v>382</v>
      </c>
      <c r="E39" s="18" t="s">
        <v>383</v>
      </c>
      <c r="F39" s="21" t="s">
        <v>30</v>
      </c>
      <c r="G39" s="21" t="s">
        <v>384</v>
      </c>
      <c r="H39" s="21" t="s">
        <v>385</v>
      </c>
      <c r="I39" s="21" t="s">
        <v>386</v>
      </c>
      <c r="J39" s="21" t="s">
        <v>11</v>
      </c>
      <c r="K39" s="21" t="s">
        <v>64</v>
      </c>
      <c r="L39" s="18" t="s">
        <v>387</v>
      </c>
      <c r="M39" s="18" t="s">
        <v>63</v>
      </c>
      <c r="N39" s="21"/>
      <c r="O39" s="24"/>
      <c r="P39" s="25"/>
    </row>
    <row r="40" ht="43.5" customHeight="1">
      <c r="A40" s="33" t="s">
        <v>389</v>
      </c>
      <c r="B40" s="26"/>
      <c r="C40" s="26"/>
      <c r="D40" s="18" t="s">
        <v>391</v>
      </c>
      <c r="E40" s="18" t="s">
        <v>392</v>
      </c>
      <c r="F40" s="21" t="s">
        <v>30</v>
      </c>
      <c r="G40" s="21" t="s">
        <v>393</v>
      </c>
      <c r="H40" s="21" t="s">
        <v>394</v>
      </c>
      <c r="I40" s="21" t="s">
        <v>395</v>
      </c>
      <c r="J40" s="21" t="s">
        <v>11</v>
      </c>
      <c r="K40" s="21" t="s">
        <v>64</v>
      </c>
      <c r="L40" s="18" t="s">
        <v>397</v>
      </c>
      <c r="M40" s="18" t="s">
        <v>63</v>
      </c>
      <c r="N40" s="21"/>
      <c r="O40" s="24"/>
      <c r="P40" s="25"/>
    </row>
    <row r="41" ht="43.5" customHeight="1">
      <c r="A41" s="33" t="s">
        <v>399</v>
      </c>
      <c r="B41" s="26"/>
      <c r="C41" s="26"/>
      <c r="D41" s="18" t="s">
        <v>400</v>
      </c>
      <c r="E41" s="18" t="s">
        <v>403</v>
      </c>
      <c r="F41" s="21" t="s">
        <v>207</v>
      </c>
      <c r="G41" s="21" t="s">
        <v>404</v>
      </c>
      <c r="H41" s="21" t="s">
        <v>405</v>
      </c>
      <c r="I41" s="21" t="s">
        <v>407</v>
      </c>
      <c r="J41" s="21" t="s">
        <v>11</v>
      </c>
      <c r="K41" s="21" t="s">
        <v>64</v>
      </c>
      <c r="L41" s="18" t="s">
        <v>408</v>
      </c>
      <c r="M41" s="18" t="s">
        <v>63</v>
      </c>
      <c r="N41" s="21"/>
      <c r="O41" s="24"/>
      <c r="P41" s="25"/>
    </row>
    <row r="42" ht="43.5" customHeight="1">
      <c r="A42" s="33" t="s">
        <v>410</v>
      </c>
      <c r="B42" s="26"/>
      <c r="C42" s="26"/>
      <c r="D42" s="18" t="s">
        <v>411</v>
      </c>
      <c r="E42" s="18" t="s">
        <v>413</v>
      </c>
      <c r="F42" s="21" t="s">
        <v>10</v>
      </c>
      <c r="G42" s="21" t="s">
        <v>404</v>
      </c>
      <c r="H42" s="21" t="s">
        <v>414</v>
      </c>
      <c r="I42" s="21" t="s">
        <v>415</v>
      </c>
      <c r="J42" s="21" t="s">
        <v>11</v>
      </c>
      <c r="K42" s="21" t="s">
        <v>64</v>
      </c>
      <c r="L42" s="18" t="s">
        <v>417</v>
      </c>
      <c r="M42" s="18" t="s">
        <v>63</v>
      </c>
      <c r="N42" s="21"/>
      <c r="O42" s="24"/>
      <c r="P42" s="25"/>
    </row>
    <row r="43" ht="43.5" customHeight="1">
      <c r="A43" s="13" t="s">
        <v>420</v>
      </c>
      <c r="B43" s="26"/>
      <c r="C43" s="27"/>
      <c r="D43" s="18" t="s">
        <v>423</v>
      </c>
      <c r="E43" s="18" t="s">
        <v>424</v>
      </c>
      <c r="F43" s="21" t="s">
        <v>30</v>
      </c>
      <c r="G43" s="21" t="s">
        <v>404</v>
      </c>
      <c r="H43" s="21" t="s">
        <v>425</v>
      </c>
      <c r="I43" s="21" t="s">
        <v>426</v>
      </c>
      <c r="J43" s="21" t="s">
        <v>112</v>
      </c>
      <c r="K43" s="21" t="s">
        <v>64</v>
      </c>
      <c r="L43" s="18" t="s">
        <v>427</v>
      </c>
      <c r="M43" s="18" t="s">
        <v>63</v>
      </c>
      <c r="N43" s="21"/>
      <c r="O43" s="24"/>
      <c r="P43" s="25"/>
    </row>
    <row r="44" ht="43.5" customHeight="1">
      <c r="A44" s="13" t="s">
        <v>430</v>
      </c>
      <c r="B44" s="27"/>
      <c r="C44" s="20" t="s">
        <v>432</v>
      </c>
      <c r="D44" s="18" t="s">
        <v>433</v>
      </c>
      <c r="E44" s="18" t="s">
        <v>434</v>
      </c>
      <c r="F44" s="21" t="s">
        <v>84</v>
      </c>
      <c r="G44" s="21" t="s">
        <v>436</v>
      </c>
      <c r="H44" s="21" t="s">
        <v>437</v>
      </c>
      <c r="I44" s="21" t="s">
        <v>438</v>
      </c>
      <c r="J44" s="21" t="s">
        <v>112</v>
      </c>
      <c r="K44" s="21" t="s">
        <v>64</v>
      </c>
      <c r="L44" s="18" t="s">
        <v>439</v>
      </c>
      <c r="M44" s="18" t="s">
        <v>63</v>
      </c>
      <c r="N44" s="21"/>
      <c r="O44" s="24"/>
      <c r="P44" s="25"/>
    </row>
    <row r="45" ht="43.5" customHeight="1">
      <c r="A45" s="13" t="s">
        <v>440</v>
      </c>
      <c r="B45" s="15" t="s">
        <v>226</v>
      </c>
      <c r="C45" s="16" t="s">
        <v>443</v>
      </c>
      <c r="D45" s="18" t="s">
        <v>445</v>
      </c>
      <c r="E45" s="18" t="s">
        <v>446</v>
      </c>
      <c r="F45" s="21" t="s">
        <v>30</v>
      </c>
      <c r="G45" s="21" t="s">
        <v>447</v>
      </c>
      <c r="H45" s="21" t="s">
        <v>448</v>
      </c>
      <c r="I45" s="21" t="s">
        <v>449</v>
      </c>
      <c r="J45" s="21" t="s">
        <v>134</v>
      </c>
      <c r="K45" s="21" t="s">
        <v>64</v>
      </c>
      <c r="L45" s="18" t="s">
        <v>451</v>
      </c>
      <c r="M45" s="18" t="s">
        <v>63</v>
      </c>
      <c r="N45" s="21"/>
      <c r="O45" s="24"/>
      <c r="P45" s="25"/>
    </row>
    <row r="46" ht="43.5" customHeight="1">
      <c r="A46" s="13" t="s">
        <v>452</v>
      </c>
      <c r="B46" s="26"/>
      <c r="C46" s="26"/>
      <c r="D46" s="18" t="s">
        <v>453</v>
      </c>
      <c r="E46" s="18" t="s">
        <v>454</v>
      </c>
      <c r="F46" s="21" t="s">
        <v>30</v>
      </c>
      <c r="G46" s="21" t="s">
        <v>456</v>
      </c>
      <c r="H46" s="21" t="s">
        <v>457</v>
      </c>
      <c r="I46" s="21" t="s">
        <v>458</v>
      </c>
      <c r="J46" s="21" t="s">
        <v>134</v>
      </c>
      <c r="K46" s="21" t="s">
        <v>64</v>
      </c>
      <c r="L46" s="18" t="s">
        <v>460</v>
      </c>
      <c r="M46" s="18" t="s">
        <v>63</v>
      </c>
      <c r="N46" s="21"/>
      <c r="O46" s="24"/>
      <c r="P46" s="25"/>
    </row>
    <row r="47" ht="43.5" customHeight="1">
      <c r="A47" s="33" t="s">
        <v>461</v>
      </c>
      <c r="B47" s="27"/>
      <c r="C47" s="27"/>
      <c r="D47" s="18" t="s">
        <v>463</v>
      </c>
      <c r="E47" s="18" t="s">
        <v>464</v>
      </c>
      <c r="F47" s="21" t="s">
        <v>207</v>
      </c>
      <c r="G47" s="21" t="s">
        <v>465</v>
      </c>
      <c r="H47" s="21" t="s">
        <v>405</v>
      </c>
      <c r="I47" s="21" t="s">
        <v>466</v>
      </c>
      <c r="J47" s="21" t="s">
        <v>134</v>
      </c>
      <c r="K47" s="21" t="s">
        <v>64</v>
      </c>
      <c r="L47" s="18" t="s">
        <v>468</v>
      </c>
      <c r="M47" s="18" t="s">
        <v>63</v>
      </c>
      <c r="N47" s="21"/>
      <c r="O47" s="24"/>
      <c r="P47" s="25"/>
    </row>
    <row r="48" ht="43.5" customHeight="1">
      <c r="A48" s="33" t="s">
        <v>470</v>
      </c>
      <c r="B48" s="15" t="s">
        <v>84</v>
      </c>
      <c r="C48" s="16" t="s">
        <v>129</v>
      </c>
      <c r="D48" s="18" t="s">
        <v>473</v>
      </c>
      <c r="E48" s="18" t="s">
        <v>474</v>
      </c>
      <c r="F48" s="21" t="s">
        <v>84</v>
      </c>
      <c r="G48" s="21" t="s">
        <v>475</v>
      </c>
      <c r="H48" s="21" t="s">
        <v>476</v>
      </c>
      <c r="I48" s="21" t="s">
        <v>477</v>
      </c>
      <c r="J48" s="21" t="s">
        <v>11</v>
      </c>
      <c r="K48" s="21" t="s">
        <v>64</v>
      </c>
      <c r="L48" s="18" t="s">
        <v>479</v>
      </c>
      <c r="M48" s="18" t="s">
        <v>63</v>
      </c>
      <c r="N48" s="21"/>
      <c r="O48" s="24"/>
      <c r="P48" s="25"/>
    </row>
    <row r="49" ht="43.5" customHeight="1">
      <c r="A49" s="33" t="s">
        <v>481</v>
      </c>
      <c r="B49" s="26"/>
      <c r="C49" s="26"/>
      <c r="D49" s="18" t="s">
        <v>129</v>
      </c>
      <c r="E49" s="18" t="s">
        <v>482</v>
      </c>
      <c r="F49" s="21" t="s">
        <v>84</v>
      </c>
      <c r="G49" s="21" t="s">
        <v>149</v>
      </c>
      <c r="H49" s="21" t="s">
        <v>483</v>
      </c>
      <c r="I49" s="21" t="s">
        <v>484</v>
      </c>
      <c r="J49" s="21" t="s">
        <v>11</v>
      </c>
      <c r="K49" s="21" t="s">
        <v>64</v>
      </c>
      <c r="L49" s="18" t="s">
        <v>486</v>
      </c>
      <c r="M49" s="18" t="s">
        <v>63</v>
      </c>
      <c r="N49" s="21"/>
      <c r="O49" s="24"/>
      <c r="P49" s="25"/>
    </row>
    <row r="50" ht="43.5" customHeight="1">
      <c r="A50" s="33" t="s">
        <v>488</v>
      </c>
      <c r="B50" s="26"/>
      <c r="C50" s="27"/>
      <c r="D50" s="18" t="s">
        <v>489</v>
      </c>
      <c r="E50" s="18" t="s">
        <v>490</v>
      </c>
      <c r="F50" s="21" t="s">
        <v>84</v>
      </c>
      <c r="G50" s="21" t="s">
        <v>491</v>
      </c>
      <c r="H50" s="21" t="s">
        <v>492</v>
      </c>
      <c r="I50" s="21" t="s">
        <v>493</v>
      </c>
      <c r="J50" s="21" t="s">
        <v>11</v>
      </c>
      <c r="K50" s="21" t="s">
        <v>64</v>
      </c>
      <c r="L50" s="18" t="s">
        <v>495</v>
      </c>
      <c r="M50" s="18" t="s">
        <v>63</v>
      </c>
      <c r="N50" s="21"/>
      <c r="O50" s="24"/>
      <c r="P50" s="25"/>
    </row>
    <row r="51" ht="43.5" customHeight="1">
      <c r="A51" s="33" t="s">
        <v>497</v>
      </c>
      <c r="B51" s="26"/>
      <c r="C51" s="16" t="s">
        <v>498</v>
      </c>
      <c r="D51" s="18" t="s">
        <v>500</v>
      </c>
      <c r="E51" s="18" t="s">
        <v>502</v>
      </c>
      <c r="F51" s="21" t="s">
        <v>84</v>
      </c>
      <c r="G51" s="21" t="s">
        <v>503</v>
      </c>
      <c r="H51" s="21" t="s">
        <v>504</v>
      </c>
      <c r="I51" s="21" t="s">
        <v>505</v>
      </c>
      <c r="J51" s="21" t="s">
        <v>11</v>
      </c>
      <c r="K51" s="21" t="s">
        <v>64</v>
      </c>
      <c r="L51" s="18" t="s">
        <v>507</v>
      </c>
      <c r="M51" s="18" t="s">
        <v>63</v>
      </c>
      <c r="N51" s="21"/>
      <c r="O51" s="24"/>
      <c r="P51" s="25"/>
    </row>
    <row r="52" ht="43.5" customHeight="1">
      <c r="A52" s="33" t="s">
        <v>510</v>
      </c>
      <c r="B52" s="26"/>
      <c r="C52" s="26"/>
      <c r="D52" s="18" t="s">
        <v>511</v>
      </c>
      <c r="E52" s="18" t="s">
        <v>512</v>
      </c>
      <c r="F52" s="21" t="s">
        <v>84</v>
      </c>
      <c r="G52" s="21" t="s">
        <v>513</v>
      </c>
      <c r="H52" s="21" t="s">
        <v>514</v>
      </c>
      <c r="I52" s="21" t="s">
        <v>515</v>
      </c>
      <c r="J52" s="21" t="s">
        <v>134</v>
      </c>
      <c r="K52" s="21" t="s">
        <v>64</v>
      </c>
      <c r="L52" s="18" t="s">
        <v>517</v>
      </c>
      <c r="M52" s="18" t="s">
        <v>63</v>
      </c>
      <c r="N52" s="21"/>
      <c r="O52" s="24"/>
      <c r="P52" s="25"/>
    </row>
    <row r="53" ht="43.5" customHeight="1">
      <c r="A53" s="33" t="s">
        <v>519</v>
      </c>
      <c r="B53" s="26"/>
      <c r="C53" s="26"/>
      <c r="D53" s="18" t="s">
        <v>520</v>
      </c>
      <c r="E53" s="18" t="s">
        <v>521</v>
      </c>
      <c r="F53" s="21" t="s">
        <v>84</v>
      </c>
      <c r="G53" s="21" t="s">
        <v>522</v>
      </c>
      <c r="H53" s="21" t="s">
        <v>523</v>
      </c>
      <c r="I53" s="21" t="s">
        <v>524</v>
      </c>
      <c r="J53" s="21" t="s">
        <v>134</v>
      </c>
      <c r="K53" s="21" t="s">
        <v>64</v>
      </c>
      <c r="L53" s="18" t="s">
        <v>526</v>
      </c>
      <c r="M53" s="18" t="s">
        <v>63</v>
      </c>
      <c r="N53" s="21"/>
      <c r="O53" s="24"/>
      <c r="P53" s="25"/>
    </row>
    <row r="54" ht="43.5" customHeight="1">
      <c r="A54" s="33" t="s">
        <v>528</v>
      </c>
      <c r="B54" s="26"/>
      <c r="C54" s="26"/>
      <c r="D54" s="18" t="s">
        <v>529</v>
      </c>
      <c r="E54" s="18" t="s">
        <v>530</v>
      </c>
      <c r="F54" s="21" t="s">
        <v>84</v>
      </c>
      <c r="G54" s="21" t="s">
        <v>531</v>
      </c>
      <c r="H54" s="21" t="s">
        <v>532</v>
      </c>
      <c r="I54" s="21" t="s">
        <v>533</v>
      </c>
      <c r="J54" s="21" t="s">
        <v>112</v>
      </c>
      <c r="K54" s="21" t="s">
        <v>64</v>
      </c>
      <c r="L54" s="18" t="s">
        <v>535</v>
      </c>
      <c r="M54" s="18" t="s">
        <v>63</v>
      </c>
      <c r="N54" s="21"/>
      <c r="O54" s="24"/>
      <c r="P54" s="25"/>
    </row>
    <row r="55" ht="15.75" customHeight="1">
      <c r="A55" s="33" t="s">
        <v>536</v>
      </c>
      <c r="B55" s="27"/>
      <c r="C55" s="27"/>
      <c r="D55" s="18" t="s">
        <v>538</v>
      </c>
      <c r="E55" s="18" t="s">
        <v>539</v>
      </c>
      <c r="F55" s="21" t="s">
        <v>84</v>
      </c>
      <c r="G55" s="21" t="s">
        <v>540</v>
      </c>
      <c r="H55" s="21" t="s">
        <v>541</v>
      </c>
      <c r="I55" s="21" t="s">
        <v>542</v>
      </c>
      <c r="J55" s="21" t="s">
        <v>112</v>
      </c>
      <c r="K55" s="21" t="s">
        <v>64</v>
      </c>
      <c r="L55" s="18" t="s">
        <v>543</v>
      </c>
      <c r="M55" s="20" t="s">
        <v>63</v>
      </c>
      <c r="N55" s="21"/>
      <c r="O55" s="24"/>
      <c r="P55" s="25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ustomSheetViews>
    <customSheetView guid="{98EC5FD9-71EF-4EC9-832E-899BC24B9C0A}" filter="1" showAutoFilter="1">
      <autoFilter ref="$A$4:$P$55"/>
    </customSheetView>
  </customSheetViews>
  <mergeCells count="24">
    <mergeCell ref="A1:N1"/>
    <mergeCell ref="A2:N2"/>
    <mergeCell ref="B5:B13"/>
    <mergeCell ref="C5:C7"/>
    <mergeCell ref="C8:C10"/>
    <mergeCell ref="C11:C13"/>
    <mergeCell ref="C14:C16"/>
    <mergeCell ref="B14:B19"/>
    <mergeCell ref="C32:C33"/>
    <mergeCell ref="C34:C35"/>
    <mergeCell ref="C27:C31"/>
    <mergeCell ref="C36:C38"/>
    <mergeCell ref="B45:B47"/>
    <mergeCell ref="B48:B55"/>
    <mergeCell ref="B36:B44"/>
    <mergeCell ref="C45:C47"/>
    <mergeCell ref="C48:C50"/>
    <mergeCell ref="C51:C55"/>
    <mergeCell ref="C17:C19"/>
    <mergeCell ref="B20:B26"/>
    <mergeCell ref="C20:C25"/>
    <mergeCell ref="B27:B31"/>
    <mergeCell ref="B32:B35"/>
    <mergeCell ref="C39:C43"/>
  </mergeCells>
  <conditionalFormatting sqref="A4:N55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K5:K55">
      <formula1>"민기,정현,려립,정현·려립,공동"</formula1>
    </dataValidation>
    <dataValidation type="list" allowBlank="1" sqref="J5:J55">
      <formula1>"필수,중요,선택"</formula1>
    </dataValidation>
    <dataValidation type="list" allowBlank="1" sqref="M5:M55">
      <formula1>"미착수,진행 중,검토 중,완료,보류"</formula1>
    </dataValidation>
  </dataValidations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14.0"/>
    <col customWidth="1" min="3" max="3" width="4.0"/>
    <col customWidth="1" min="4" max="4" width="18.0"/>
    <col customWidth="1" min="5" max="8" width="13.0"/>
    <col customWidth="1" min="9" max="26" width="8.63"/>
  </cols>
  <sheetData>
    <row r="1" ht="33.75" customHeight="1">
      <c r="A1" s="1" t="s">
        <v>0</v>
      </c>
    </row>
    <row r="2" ht="24.0" customHeight="1">
      <c r="A2" s="2" t="s">
        <v>2</v>
      </c>
    </row>
    <row r="3">
      <c r="A3" s="3"/>
      <c r="B3" s="3"/>
      <c r="C3" s="3"/>
      <c r="D3" s="3"/>
      <c r="E3" s="3"/>
      <c r="F3" s="3"/>
      <c r="G3" s="3"/>
      <c r="H3" s="3"/>
    </row>
    <row r="4" ht="30.0" customHeight="1">
      <c r="A4" s="4" t="s">
        <v>3</v>
      </c>
      <c r="B4" s="6">
        <f>COUNTA('요구사항 목록'!$A$5:$A$55)</f>
        <v>51</v>
      </c>
      <c r="C4" s="3"/>
      <c r="D4" s="8" t="s">
        <v>8</v>
      </c>
      <c r="E4" s="8" t="s">
        <v>10</v>
      </c>
      <c r="F4" s="8" t="s">
        <v>11</v>
      </c>
      <c r="G4" s="8" t="s">
        <v>12</v>
      </c>
      <c r="H4" s="8" t="s">
        <v>13</v>
      </c>
    </row>
    <row r="5" ht="25.5" customHeight="1">
      <c r="A5" s="4" t="s">
        <v>15</v>
      </c>
      <c r="B5" s="6">
        <f>COUNTIF('요구사항 목록'!$J$5:$J$55,"필수")</f>
        <v>24</v>
      </c>
      <c r="C5" s="3"/>
      <c r="D5" s="11" t="s">
        <v>25</v>
      </c>
      <c r="E5" s="11">
        <f>COUNTIF('요구사항 목록'!$K$5:$K$55,D5)</f>
        <v>9</v>
      </c>
      <c r="F5" s="11">
        <f>COUNTIFS('요구사항 목록'!$K$5:$K$55,D5,'요구사항 목록'!$J$5:$J$55,"필수")</f>
        <v>6</v>
      </c>
      <c r="G5" s="11">
        <f>COUNTIFS('요구사항 목록'!$K$5:$K$55,D5,'요구사항 목록'!$M$5:$M$55,"완료")</f>
        <v>0</v>
      </c>
      <c r="H5" s="22">
        <f t="shared" ref="H5:H7" si="1">IF(E5=0,0,G5/E5)</f>
        <v>0</v>
      </c>
    </row>
    <row r="6" ht="25.5" customHeight="1">
      <c r="A6" s="4" t="s">
        <v>12</v>
      </c>
      <c r="B6" s="6">
        <f>COUNTIF('요구사항 목록'!$M$5:$M$55,"완료")</f>
        <v>0</v>
      </c>
      <c r="C6" s="3"/>
      <c r="D6" s="11" t="s">
        <v>51</v>
      </c>
      <c r="E6" s="11">
        <f>COUNTIF('요구사항 목록'!$K$5:$K$55,D6)</f>
        <v>20</v>
      </c>
      <c r="F6" s="11">
        <f>COUNTIFS('요구사항 목록'!$K$5:$K$55,D6,'요구사항 목록'!$J$5:$J$55,"필수")</f>
        <v>8</v>
      </c>
      <c r="G6" s="11">
        <f>COUNTIFS('요구사항 목록'!$K$5:$K$55,D6,'요구사항 목록'!$M$5:$M$55,"완료")</f>
        <v>0</v>
      </c>
      <c r="H6" s="22">
        <f t="shared" si="1"/>
        <v>0</v>
      </c>
    </row>
    <row r="7" ht="25.5" customHeight="1">
      <c r="A7" s="4" t="s">
        <v>61</v>
      </c>
      <c r="B7" s="6">
        <f>COUNTIF('요구사항 목록'!$M$5:$M$55,"진행 중")</f>
        <v>0</v>
      </c>
      <c r="C7" s="3"/>
      <c r="D7" s="11" t="s">
        <v>64</v>
      </c>
      <c r="E7" s="11">
        <f>COUNTIF('요구사항 목록'!$K$5:$K$55,D7)</f>
        <v>20</v>
      </c>
      <c r="F7" s="11">
        <f>COUNTIFS('요구사항 목록'!$K$5:$K$55,D7,'요구사항 목록'!$J$5:$J$55,"필수")</f>
        <v>9</v>
      </c>
      <c r="G7" s="11">
        <f>COUNTIFS('요구사항 목록'!$K$5:$K$55,D7,'요구사항 목록'!$M$5:$M$55,"완료")</f>
        <v>0</v>
      </c>
      <c r="H7" s="22">
        <f t="shared" si="1"/>
        <v>0</v>
      </c>
    </row>
    <row r="8" ht="25.5" customHeight="1">
      <c r="A8" s="4" t="s">
        <v>13</v>
      </c>
      <c r="B8" s="28">
        <f>IF(B4=0,0,B6/B4)</f>
        <v>0</v>
      </c>
      <c r="C8" s="3"/>
      <c r="D8" s="3"/>
      <c r="E8" s="3"/>
      <c r="F8" s="3"/>
      <c r="G8" s="3"/>
      <c r="H8" s="3"/>
    </row>
    <row r="9" ht="25.5" customHeight="1">
      <c r="A9" s="3"/>
      <c r="B9" s="3"/>
      <c r="C9" s="3"/>
      <c r="D9" s="29"/>
      <c r="E9" s="30"/>
      <c r="F9" s="30"/>
      <c r="G9" s="30"/>
      <c r="H9" s="31"/>
    </row>
    <row r="10" ht="25.5" customHeight="1">
      <c r="A10" s="3"/>
      <c r="B10" s="3"/>
      <c r="C10" s="3"/>
      <c r="D10" s="8" t="s">
        <v>6</v>
      </c>
      <c r="E10" s="8" t="s">
        <v>10</v>
      </c>
      <c r="F10" s="8" t="s">
        <v>11</v>
      </c>
      <c r="G10" s="8" t="s">
        <v>61</v>
      </c>
      <c r="H10" s="8" t="s">
        <v>12</v>
      </c>
    </row>
    <row r="11" ht="25.5" customHeight="1">
      <c r="A11" s="3"/>
      <c r="B11" s="3"/>
      <c r="C11" s="3"/>
      <c r="D11" s="11" t="s">
        <v>30</v>
      </c>
      <c r="E11" s="11">
        <f>COUNTIF('요구사항 목록'!$B$5:$B$55,D11)</f>
        <v>1</v>
      </c>
      <c r="F11" s="11">
        <f>COUNTIFS('요구사항 목록'!$B$5:$B$55,D11,'요구사항 목록'!$J$5:$J$55,"필수")</f>
        <v>1</v>
      </c>
      <c r="G11" s="11">
        <f>COUNTIFS('요구사항 목록'!$B$5:$B$55,D11,'요구사항 목록'!$M$5:$M$55,"진행 중")</f>
        <v>0</v>
      </c>
      <c r="H11" s="11">
        <f>COUNTIFS('요구사항 목록'!$B$5:$B$55,D11,'요구사항 목록'!$M$5:$M$55,"완료")</f>
        <v>0</v>
      </c>
    </row>
    <row r="12" ht="25.5" customHeight="1">
      <c r="A12" s="3"/>
      <c r="B12" s="3"/>
      <c r="C12" s="3"/>
      <c r="D12" s="11" t="s">
        <v>137</v>
      </c>
      <c r="E12" s="11">
        <f>COUNTIF('요구사항 목록'!$B$5:$B$55,D12)</f>
        <v>0</v>
      </c>
      <c r="F12" s="11">
        <f>COUNTIFS('요구사항 목록'!$B$5:$B$55,D12,'요구사항 목록'!$J$5:$J$55,"필수")</f>
        <v>0</v>
      </c>
      <c r="G12" s="11">
        <f>COUNTIFS('요구사항 목록'!$B$5:$B$55,D12,'요구사항 목록'!$M$5:$M$55,"진행 중")</f>
        <v>0</v>
      </c>
      <c r="H12" s="11">
        <f>COUNTIFS('요구사항 목록'!$B$5:$B$55,D12,'요구사항 목록'!$M$5:$M$55,"완료")</f>
        <v>0</v>
      </c>
    </row>
    <row r="13" ht="25.5" customHeight="1">
      <c r="A13" s="3"/>
      <c r="B13" s="3"/>
      <c r="C13" s="3"/>
      <c r="D13" s="11" t="s">
        <v>160</v>
      </c>
      <c r="E13" s="11">
        <f>COUNTIF('요구사항 목록'!$B$5:$B$55,D13)</f>
        <v>1</v>
      </c>
      <c r="F13" s="11">
        <f>COUNTIFS('요구사항 목록'!$B$5:$B$55,D13,'요구사항 목록'!$J$5:$J$55,"필수")</f>
        <v>1</v>
      </c>
      <c r="G13" s="11">
        <f>COUNTIFS('요구사항 목록'!$B$5:$B$55,D13,'요구사항 목록'!$M$5:$M$55,"진행 중")</f>
        <v>0</v>
      </c>
      <c r="H13" s="11">
        <f>COUNTIFS('요구사항 목록'!$B$5:$B$55,D13,'요구사항 목록'!$M$5:$M$55,"완료")</f>
        <v>0</v>
      </c>
    </row>
    <row r="14" ht="25.5" customHeight="1">
      <c r="A14" s="3"/>
      <c r="B14" s="3"/>
      <c r="C14" s="3"/>
      <c r="D14" s="11" t="s">
        <v>115</v>
      </c>
      <c r="E14" s="11">
        <f>COUNTIF('요구사항 목록'!$B$5:$B$55,D14)</f>
        <v>1</v>
      </c>
      <c r="F14" s="11">
        <f>COUNTIFS('요구사항 목록'!$B$5:$B$55,D14,'요구사항 목록'!$J$5:$J$55,"필수")</f>
        <v>0</v>
      </c>
      <c r="G14" s="11">
        <f>COUNTIFS('요구사항 목록'!$B$5:$B$55,D14,'요구사항 목록'!$M$5:$M$55,"진행 중")</f>
        <v>0</v>
      </c>
      <c r="H14" s="11">
        <f>COUNTIFS('요구사항 목록'!$B$5:$B$55,D14,'요구사항 목록'!$M$5:$M$55,"완료")</f>
        <v>0</v>
      </c>
    </row>
    <row r="15" ht="25.5" customHeight="1">
      <c r="A15" s="3"/>
      <c r="B15" s="3"/>
      <c r="C15" s="3"/>
      <c r="D15" s="11" t="s">
        <v>195</v>
      </c>
      <c r="E15" s="11">
        <f>COUNTIF('요구사항 목록'!$B$5:$B$55,D15)</f>
        <v>1</v>
      </c>
      <c r="F15" s="11">
        <f>COUNTIFS('요구사항 목록'!$B$5:$B$55,D15,'요구사항 목록'!$J$5:$J$55,"필수")</f>
        <v>0</v>
      </c>
      <c r="G15" s="11">
        <f>COUNTIFS('요구사항 목록'!$B$5:$B$55,D15,'요구사항 목록'!$M$5:$M$55,"진행 중")</f>
        <v>0</v>
      </c>
      <c r="H15" s="11">
        <f>COUNTIFS('요구사항 목록'!$B$5:$B$55,D15,'요구사항 목록'!$M$5:$M$55,"완료")</f>
        <v>0</v>
      </c>
    </row>
    <row r="16" ht="25.5" customHeight="1">
      <c r="A16" s="3"/>
      <c r="B16" s="3"/>
      <c r="C16" s="3"/>
      <c r="D16" s="11" t="s">
        <v>78</v>
      </c>
      <c r="E16" s="11">
        <f>COUNTIF('요구사항 목록'!$B$5:$B$55,D16)</f>
        <v>1</v>
      </c>
      <c r="F16" s="11">
        <f>COUNTIFS('요구사항 목록'!$B$5:$B$55,D16,'요구사항 목록'!$J$5:$J$55,"필수")</f>
        <v>1</v>
      </c>
      <c r="G16" s="11">
        <f>COUNTIFS('요구사항 목록'!$B$5:$B$55,D16,'요구사항 목록'!$M$5:$M$55,"진행 중")</f>
        <v>0</v>
      </c>
      <c r="H16" s="11">
        <f>COUNTIFS('요구사항 목록'!$B$5:$B$55,D16,'요구사항 목록'!$M$5:$M$55,"완료")</f>
        <v>0</v>
      </c>
    </row>
    <row r="17" ht="25.5" customHeight="1">
      <c r="A17" s="3"/>
      <c r="B17" s="3"/>
      <c r="C17" s="3"/>
      <c r="D17" s="11" t="s">
        <v>226</v>
      </c>
      <c r="E17" s="11">
        <f>COUNTIF('요구사항 목록'!$B$5:$B$55,D17)</f>
        <v>1</v>
      </c>
      <c r="F17" s="11">
        <f>COUNTIFS('요구사항 목록'!$B$5:$B$55,D17,'요구사항 목록'!$J$5:$J$55,"필수")</f>
        <v>0</v>
      </c>
      <c r="G17" s="11">
        <f>COUNTIFS('요구사항 목록'!$B$5:$B$55,D17,'요구사항 목록'!$M$5:$M$55,"진행 중")</f>
        <v>0</v>
      </c>
      <c r="H17" s="11">
        <f>COUNTIFS('요구사항 목록'!$B$5:$B$55,D17,'요구사항 목록'!$M$5:$M$55,"완료")</f>
        <v>0</v>
      </c>
    </row>
    <row r="18" ht="25.5" customHeight="1">
      <c r="A18" s="3"/>
      <c r="B18" s="3"/>
      <c r="C18" s="3"/>
      <c r="D18" s="11" t="s">
        <v>84</v>
      </c>
      <c r="E18" s="11">
        <f>COUNTIF('요구사항 목록'!$B$5:$B$55,D18)</f>
        <v>1</v>
      </c>
      <c r="F18" s="11">
        <f>COUNTIFS('요구사항 목록'!$B$5:$B$55,D18,'요구사항 목록'!$J$5:$J$55,"필수")</f>
        <v>1</v>
      </c>
      <c r="G18" s="11">
        <f>COUNTIFS('요구사항 목록'!$B$5:$B$55,D18,'요구사항 목록'!$M$5:$M$55,"진행 중")</f>
        <v>0</v>
      </c>
      <c r="H18" s="11">
        <f>COUNTIFS('요구사항 목록'!$B$5:$B$55,D18,'요구사항 목록'!$M$5:$M$55,"완료")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62.0"/>
    <col customWidth="1" min="4" max="4" width="38.0"/>
    <col customWidth="1" min="5" max="5" width="12.0"/>
    <col customWidth="1" min="6" max="26" width="8.63"/>
  </cols>
  <sheetData>
    <row r="1" ht="18.75" customHeight="1">
      <c r="A1" s="12" t="s">
        <v>28</v>
      </c>
    </row>
    <row r="2" ht="15.0" customHeight="1">
      <c r="A2" s="14"/>
      <c r="B2" s="14"/>
      <c r="C2" s="14"/>
      <c r="D2" s="14"/>
      <c r="E2" s="14"/>
    </row>
    <row r="3" ht="15.0" customHeight="1">
      <c r="A3" s="19" t="s">
        <v>33</v>
      </c>
      <c r="B3" s="19" t="s">
        <v>38</v>
      </c>
      <c r="C3" s="19" t="s">
        <v>42</v>
      </c>
      <c r="D3" s="19" t="s">
        <v>47</v>
      </c>
      <c r="E3" s="19" t="s">
        <v>20</v>
      </c>
    </row>
    <row r="4" ht="15.0" customHeight="1">
      <c r="A4" s="23" t="s">
        <v>49</v>
      </c>
      <c r="B4" s="23" t="s">
        <v>52</v>
      </c>
      <c r="C4" s="23" t="s">
        <v>54</v>
      </c>
      <c r="D4" s="23" t="s">
        <v>55</v>
      </c>
      <c r="E4" s="23" t="s">
        <v>11</v>
      </c>
    </row>
    <row r="5" ht="15.0" customHeight="1">
      <c r="A5" s="23" t="s">
        <v>57</v>
      </c>
      <c r="B5" s="23" t="s">
        <v>52</v>
      </c>
      <c r="C5" s="23" t="s">
        <v>60</v>
      </c>
      <c r="D5" s="23" t="s">
        <v>62</v>
      </c>
      <c r="E5" s="23" t="s">
        <v>11</v>
      </c>
    </row>
    <row r="6" ht="15.0" customHeight="1">
      <c r="A6" s="23" t="s">
        <v>65</v>
      </c>
      <c r="B6" s="23" t="s">
        <v>67</v>
      </c>
      <c r="C6" s="23" t="s">
        <v>69</v>
      </c>
      <c r="D6" s="23" t="s">
        <v>71</v>
      </c>
      <c r="E6" s="23" t="s">
        <v>11</v>
      </c>
    </row>
    <row r="7" ht="15.0" customHeight="1">
      <c r="A7" s="23" t="s">
        <v>77</v>
      </c>
      <c r="B7" s="23" t="s">
        <v>78</v>
      </c>
      <c r="C7" s="23" t="s">
        <v>80</v>
      </c>
      <c r="D7" s="23" t="s">
        <v>83</v>
      </c>
      <c r="E7" s="23" t="s">
        <v>11</v>
      </c>
    </row>
    <row r="8" ht="15.0" customHeight="1">
      <c r="A8" s="23" t="s">
        <v>89</v>
      </c>
      <c r="B8" s="23" t="s">
        <v>91</v>
      </c>
      <c r="C8" s="23" t="s">
        <v>93</v>
      </c>
      <c r="D8" s="23" t="s">
        <v>95</v>
      </c>
      <c r="E8" s="23" t="s">
        <v>11</v>
      </c>
    </row>
    <row r="9" ht="15.0" customHeight="1">
      <c r="A9" s="23" t="s">
        <v>97</v>
      </c>
      <c r="B9" s="23" t="s">
        <v>102</v>
      </c>
      <c r="C9" s="23" t="s">
        <v>105</v>
      </c>
      <c r="D9" s="23" t="s">
        <v>110</v>
      </c>
      <c r="E9" s="23" t="s">
        <v>112</v>
      </c>
    </row>
    <row r="10" ht="15.0" customHeight="1">
      <c r="A10" s="23" t="s">
        <v>114</v>
      </c>
      <c r="B10" s="23" t="s">
        <v>115</v>
      </c>
      <c r="C10" s="23" t="s">
        <v>119</v>
      </c>
      <c r="D10" s="23" t="s">
        <v>123</v>
      </c>
      <c r="E10" s="23" t="s">
        <v>112</v>
      </c>
    </row>
    <row r="11" ht="15.0" customHeight="1">
      <c r="A11" s="23" t="s">
        <v>127</v>
      </c>
      <c r="B11" s="23" t="s">
        <v>129</v>
      </c>
      <c r="C11" s="23" t="s">
        <v>133</v>
      </c>
      <c r="D11" s="23" t="s">
        <v>139</v>
      </c>
      <c r="E11" s="23" t="s">
        <v>11</v>
      </c>
    </row>
    <row r="12" ht="15.0" customHeight="1">
      <c r="A12" s="23" t="s">
        <v>145</v>
      </c>
      <c r="B12" s="23" t="s">
        <v>30</v>
      </c>
      <c r="C12" s="23" t="s">
        <v>150</v>
      </c>
      <c r="D12" s="23" t="s">
        <v>153</v>
      </c>
      <c r="E12" s="23" t="s">
        <v>134</v>
      </c>
    </row>
    <row r="13" ht="15.0" customHeight="1">
      <c r="A13" s="23" t="s">
        <v>156</v>
      </c>
      <c r="B13" s="23" t="s">
        <v>78</v>
      </c>
      <c r="C13" s="23" t="s">
        <v>157</v>
      </c>
      <c r="D13" s="23" t="s">
        <v>159</v>
      </c>
      <c r="E13" s="23" t="s">
        <v>134</v>
      </c>
    </row>
    <row r="14" ht="15.0" customHeight="1">
      <c r="A14" s="23" t="s">
        <v>166</v>
      </c>
      <c r="B14" s="23" t="s">
        <v>67</v>
      </c>
      <c r="C14" s="23" t="s">
        <v>169</v>
      </c>
      <c r="D14" s="23" t="s">
        <v>172</v>
      </c>
      <c r="E14" s="23" t="s">
        <v>134</v>
      </c>
    </row>
    <row r="15" ht="15.0" customHeight="1">
      <c r="A15" s="23" t="s">
        <v>176</v>
      </c>
      <c r="B15" s="23" t="s">
        <v>178</v>
      </c>
      <c r="C15" s="23" t="s">
        <v>182</v>
      </c>
      <c r="D15" s="23" t="s">
        <v>184</v>
      </c>
      <c r="E15" s="23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conditionalFormatting sqref="A3:E15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0"/>
    <col customWidth="1" min="2" max="5" width="14.0"/>
    <col customWidth="1" min="6" max="6" width="16.0"/>
    <col customWidth="1" min="7" max="7" width="14.0"/>
    <col customWidth="1" min="8" max="8" width="46.0"/>
    <col customWidth="1" min="9" max="26" width="8.63"/>
  </cols>
  <sheetData>
    <row r="1" ht="18.75" customHeight="1">
      <c r="A1" s="12" t="s">
        <v>27</v>
      </c>
    </row>
    <row r="2" ht="15.0" customHeight="1">
      <c r="A2" s="14"/>
      <c r="B2" s="14"/>
      <c r="C2" s="14"/>
      <c r="D2" s="14"/>
      <c r="E2" s="14"/>
      <c r="F2" s="14"/>
      <c r="G2" s="14"/>
      <c r="H2" s="14"/>
    </row>
    <row r="3" ht="15.0" customHeight="1">
      <c r="A3" s="17" t="s">
        <v>31</v>
      </c>
      <c r="B3" s="17" t="s">
        <v>34</v>
      </c>
      <c r="C3" s="17" t="s">
        <v>36</v>
      </c>
      <c r="D3" s="17" t="s">
        <v>37</v>
      </c>
      <c r="E3" s="17" t="s">
        <v>39</v>
      </c>
      <c r="F3" s="17" t="s">
        <v>41</v>
      </c>
      <c r="G3" s="17" t="s">
        <v>45</v>
      </c>
      <c r="H3" s="17" t="s">
        <v>48</v>
      </c>
    </row>
    <row r="4" ht="15.0" customHeight="1">
      <c r="A4" s="23" t="s">
        <v>40</v>
      </c>
      <c r="B4" s="23" t="s">
        <v>50</v>
      </c>
      <c r="C4" s="23" t="s">
        <v>53</v>
      </c>
      <c r="D4" s="23" t="s">
        <v>53</v>
      </c>
      <c r="E4" s="23" t="s">
        <v>53</v>
      </c>
      <c r="F4" s="23" t="s">
        <v>53</v>
      </c>
      <c r="G4" s="23" t="s">
        <v>53</v>
      </c>
      <c r="H4" s="23" t="s">
        <v>56</v>
      </c>
    </row>
    <row r="5" ht="15.0" customHeight="1">
      <c r="A5" s="23" t="s">
        <v>58</v>
      </c>
      <c r="B5" s="23" t="s">
        <v>50</v>
      </c>
      <c r="C5" s="23" t="s">
        <v>50</v>
      </c>
      <c r="D5" s="23" t="s">
        <v>50</v>
      </c>
      <c r="E5" s="23" t="s">
        <v>50</v>
      </c>
      <c r="F5" s="23" t="s">
        <v>50</v>
      </c>
      <c r="G5" s="23" t="s">
        <v>53</v>
      </c>
      <c r="H5" s="23" t="s">
        <v>66</v>
      </c>
    </row>
    <row r="6" ht="15.0" customHeight="1">
      <c r="A6" s="23" t="s">
        <v>68</v>
      </c>
      <c r="B6" s="23" t="s">
        <v>50</v>
      </c>
      <c r="C6" s="23" t="s">
        <v>50</v>
      </c>
      <c r="D6" s="23" t="s">
        <v>50</v>
      </c>
      <c r="E6" s="23" t="s">
        <v>50</v>
      </c>
      <c r="F6" s="23" t="s">
        <v>50</v>
      </c>
      <c r="G6" s="23" t="s">
        <v>53</v>
      </c>
      <c r="H6" s="23" t="s">
        <v>81</v>
      </c>
    </row>
    <row r="7" ht="15.0" customHeight="1">
      <c r="A7" s="23" t="s">
        <v>84</v>
      </c>
      <c r="B7" s="23" t="s">
        <v>50</v>
      </c>
      <c r="C7" s="23" t="s">
        <v>50</v>
      </c>
      <c r="D7" s="23" t="s">
        <v>50</v>
      </c>
      <c r="E7" s="23" t="s">
        <v>50</v>
      </c>
      <c r="F7" s="23" t="s">
        <v>50</v>
      </c>
      <c r="G7" s="23" t="s">
        <v>50</v>
      </c>
      <c r="H7" s="23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2.0"/>
    <col customWidth="1" min="3" max="3" width="14.0"/>
    <col customWidth="1" min="4" max="4" width="42.0"/>
    <col customWidth="1" min="5" max="5" width="38.0"/>
    <col customWidth="1" min="6" max="6" width="20.0"/>
    <col customWidth="1" min="7" max="26" width="8.63"/>
  </cols>
  <sheetData>
    <row r="1" ht="18.75" customHeight="1">
      <c r="A1" s="12" t="s">
        <v>259</v>
      </c>
    </row>
    <row r="2" ht="15.0" customHeight="1">
      <c r="A2" s="14"/>
      <c r="B2" s="14"/>
      <c r="C2" s="14"/>
      <c r="D2" s="14"/>
      <c r="E2" s="14"/>
      <c r="F2" s="14"/>
    </row>
    <row r="3" ht="15.0" customHeight="1">
      <c r="A3" s="17" t="s">
        <v>265</v>
      </c>
      <c r="B3" s="17" t="s">
        <v>20</v>
      </c>
      <c r="C3" s="17" t="s">
        <v>8</v>
      </c>
      <c r="D3" s="17" t="s">
        <v>269</v>
      </c>
      <c r="E3" s="17" t="s">
        <v>273</v>
      </c>
      <c r="F3" s="17" t="s">
        <v>275</v>
      </c>
    </row>
    <row r="4" ht="15.0" customHeight="1">
      <c r="A4" s="23">
        <v>1.0</v>
      </c>
      <c r="B4" s="23" t="s">
        <v>11</v>
      </c>
      <c r="C4" s="23" t="s">
        <v>25</v>
      </c>
      <c r="D4" s="23" t="s">
        <v>287</v>
      </c>
      <c r="E4" s="23" t="s">
        <v>290</v>
      </c>
      <c r="F4" s="23" t="s">
        <v>292</v>
      </c>
    </row>
    <row r="5" ht="15.0" customHeight="1">
      <c r="A5" s="23">
        <v>1.0</v>
      </c>
      <c r="B5" s="23" t="s">
        <v>11</v>
      </c>
      <c r="C5" s="23" t="s">
        <v>51</v>
      </c>
      <c r="D5" s="23" t="s">
        <v>301</v>
      </c>
      <c r="E5" s="23" t="s">
        <v>307</v>
      </c>
      <c r="F5" s="23" t="s">
        <v>292</v>
      </c>
    </row>
    <row r="6" ht="15.0" customHeight="1">
      <c r="A6" s="23">
        <v>1.0</v>
      </c>
      <c r="B6" s="23" t="s">
        <v>11</v>
      </c>
      <c r="C6" s="23" t="s">
        <v>64</v>
      </c>
      <c r="D6" s="23" t="s">
        <v>312</v>
      </c>
      <c r="E6" s="23" t="s">
        <v>317</v>
      </c>
      <c r="F6" s="23" t="s">
        <v>292</v>
      </c>
    </row>
    <row r="7" ht="15.0" customHeight="1">
      <c r="A7" s="23">
        <v>2.0</v>
      </c>
      <c r="B7" s="23" t="s">
        <v>134</v>
      </c>
      <c r="C7" s="23" t="s">
        <v>25</v>
      </c>
      <c r="D7" s="23" t="s">
        <v>327</v>
      </c>
      <c r="E7" s="23" t="s">
        <v>329</v>
      </c>
      <c r="F7" s="23" t="s">
        <v>334</v>
      </c>
    </row>
    <row r="8" ht="15.0" customHeight="1">
      <c r="A8" s="23">
        <v>2.0</v>
      </c>
      <c r="B8" s="23" t="s">
        <v>134</v>
      </c>
      <c r="C8" s="23" t="s">
        <v>51</v>
      </c>
      <c r="D8" s="23" t="s">
        <v>346</v>
      </c>
      <c r="E8" s="23" t="s">
        <v>347</v>
      </c>
      <c r="F8" s="23" t="s">
        <v>334</v>
      </c>
    </row>
    <row r="9" ht="15.0" customHeight="1">
      <c r="A9" s="23">
        <v>2.0</v>
      </c>
      <c r="B9" s="23" t="s">
        <v>11</v>
      </c>
      <c r="C9" s="23" t="s">
        <v>64</v>
      </c>
      <c r="D9" s="23" t="s">
        <v>361</v>
      </c>
      <c r="E9" s="23" t="s">
        <v>365</v>
      </c>
      <c r="F9" s="23" t="s">
        <v>334</v>
      </c>
    </row>
    <row r="10" ht="15.0" customHeight="1">
      <c r="A10" s="23">
        <v>3.0</v>
      </c>
      <c r="B10" s="23" t="s">
        <v>134</v>
      </c>
      <c r="C10" s="23" t="s">
        <v>64</v>
      </c>
      <c r="D10" s="23" t="s">
        <v>375</v>
      </c>
      <c r="E10" s="23" t="s">
        <v>377</v>
      </c>
      <c r="F10" s="23" t="s">
        <v>380</v>
      </c>
    </row>
    <row r="11" ht="15.0" customHeight="1">
      <c r="A11" s="23">
        <v>3.0</v>
      </c>
      <c r="B11" s="23" t="s">
        <v>112</v>
      </c>
      <c r="C11" s="23" t="s">
        <v>25</v>
      </c>
      <c r="D11" s="23" t="s">
        <v>388</v>
      </c>
      <c r="E11" s="23" t="s">
        <v>390</v>
      </c>
      <c r="F11" s="23" t="s">
        <v>380</v>
      </c>
    </row>
    <row r="12" ht="15.0" customHeight="1">
      <c r="A12" s="23">
        <v>3.0</v>
      </c>
      <c r="B12" s="23" t="s">
        <v>112</v>
      </c>
      <c r="C12" s="23" t="s">
        <v>51</v>
      </c>
      <c r="D12" s="23" t="s">
        <v>401</v>
      </c>
      <c r="E12" s="23" t="s">
        <v>406</v>
      </c>
      <c r="F12" s="23" t="s">
        <v>380</v>
      </c>
    </row>
    <row r="13" ht="15.0" customHeight="1">
      <c r="A13" s="23">
        <v>4.0</v>
      </c>
      <c r="B13" s="23" t="s">
        <v>112</v>
      </c>
      <c r="C13" s="23" t="s">
        <v>51</v>
      </c>
      <c r="D13" s="23" t="s">
        <v>416</v>
      </c>
      <c r="E13" s="23" t="s">
        <v>418</v>
      </c>
      <c r="F13" s="23" t="s">
        <v>421</v>
      </c>
    </row>
    <row r="14" ht="15.0" customHeight="1">
      <c r="A14" s="23">
        <v>4.0</v>
      </c>
      <c r="B14" s="23" t="s">
        <v>112</v>
      </c>
      <c r="C14" s="23" t="s">
        <v>25</v>
      </c>
      <c r="D14" s="23" t="s">
        <v>429</v>
      </c>
      <c r="E14" s="23" t="s">
        <v>431</v>
      </c>
      <c r="F14" s="23" t="s">
        <v>421</v>
      </c>
    </row>
    <row r="15" ht="15.0" customHeight="1">
      <c r="A15" s="23">
        <v>4.0</v>
      </c>
      <c r="B15" s="23" t="s">
        <v>112</v>
      </c>
      <c r="C15" s="23" t="s">
        <v>64</v>
      </c>
      <c r="D15" s="23" t="s">
        <v>441</v>
      </c>
      <c r="E15" s="23" t="s">
        <v>442</v>
      </c>
      <c r="F15" s="23" t="s">
        <v>421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20.0"/>
    <col customWidth="1" min="3" max="3" width="42.0"/>
    <col customWidth="1" min="4" max="26" width="8.63"/>
  </cols>
  <sheetData>
    <row r="1" ht="18.75" customHeight="1">
      <c r="A1" s="12" t="s">
        <v>344</v>
      </c>
    </row>
    <row r="2" ht="15.0" customHeight="1">
      <c r="A2" s="14"/>
      <c r="B2" s="14"/>
      <c r="C2" s="14"/>
    </row>
    <row r="3" ht="15.0" customHeight="1">
      <c r="A3" s="17" t="s">
        <v>349</v>
      </c>
      <c r="B3" s="17" t="s">
        <v>355</v>
      </c>
      <c r="C3" s="17" t="s">
        <v>357</v>
      </c>
    </row>
    <row r="4" ht="15.0" customHeight="1">
      <c r="A4" s="23" t="s">
        <v>364</v>
      </c>
      <c r="B4" s="23" t="s">
        <v>367</v>
      </c>
      <c r="C4" s="23" t="s">
        <v>58</v>
      </c>
    </row>
    <row r="5" ht="15.0" customHeight="1">
      <c r="A5" s="23" t="s">
        <v>364</v>
      </c>
      <c r="B5" s="23" t="s">
        <v>374</v>
      </c>
      <c r="C5" s="23" t="s">
        <v>68</v>
      </c>
    </row>
    <row r="6" ht="15.0" customHeight="1">
      <c r="A6" s="23" t="s">
        <v>364</v>
      </c>
      <c r="B6" s="23" t="s">
        <v>381</v>
      </c>
      <c r="C6" s="23" t="s">
        <v>84</v>
      </c>
    </row>
    <row r="7" ht="15.0" customHeight="1">
      <c r="A7" s="23" t="s">
        <v>396</v>
      </c>
      <c r="B7" s="23" t="s">
        <v>398</v>
      </c>
      <c r="C7" s="23" t="s">
        <v>402</v>
      </c>
    </row>
    <row r="8" ht="15.0" customHeight="1">
      <c r="A8" s="23" t="s">
        <v>396</v>
      </c>
      <c r="B8" s="23" t="s">
        <v>409</v>
      </c>
      <c r="C8" s="23" t="s">
        <v>412</v>
      </c>
    </row>
    <row r="9" ht="15.0" customHeight="1">
      <c r="A9" s="23" t="s">
        <v>396</v>
      </c>
      <c r="B9" s="23" t="s">
        <v>419</v>
      </c>
      <c r="C9" s="23" t="s">
        <v>422</v>
      </c>
    </row>
    <row r="10" ht="15.0" customHeight="1">
      <c r="A10" s="23" t="s">
        <v>396</v>
      </c>
      <c r="B10" s="23" t="s">
        <v>428</v>
      </c>
      <c r="C10" s="23" t="s">
        <v>435</v>
      </c>
    </row>
    <row r="11" ht="15.0" customHeight="1">
      <c r="A11" s="23" t="s">
        <v>199</v>
      </c>
      <c r="B11" s="23" t="s">
        <v>444</v>
      </c>
      <c r="C11" s="23" t="s">
        <v>450</v>
      </c>
    </row>
    <row r="12" ht="15.0" customHeight="1">
      <c r="A12" s="23" t="s">
        <v>199</v>
      </c>
      <c r="B12" s="23" t="s">
        <v>455</v>
      </c>
      <c r="C12" s="23" t="s">
        <v>459</v>
      </c>
    </row>
    <row r="13" ht="15.0" customHeight="1">
      <c r="A13" s="23" t="s">
        <v>199</v>
      </c>
      <c r="B13" s="23" t="s">
        <v>462</v>
      </c>
      <c r="C13" s="23" t="s">
        <v>467</v>
      </c>
    </row>
    <row r="14" ht="15.0" customHeight="1">
      <c r="A14" s="23" t="s">
        <v>469</v>
      </c>
      <c r="B14" s="23" t="s">
        <v>471</v>
      </c>
      <c r="C14" s="23" t="s">
        <v>472</v>
      </c>
    </row>
    <row r="15" ht="15.0" customHeight="1">
      <c r="A15" s="23" t="s">
        <v>469</v>
      </c>
      <c r="B15" s="23" t="s">
        <v>478</v>
      </c>
      <c r="C15" s="23" t="s">
        <v>480</v>
      </c>
    </row>
    <row r="16" ht="15.0" customHeight="1">
      <c r="A16" s="23" t="s">
        <v>469</v>
      </c>
      <c r="B16" s="23" t="s">
        <v>485</v>
      </c>
      <c r="C16" s="23" t="s">
        <v>487</v>
      </c>
    </row>
    <row r="17" ht="15.0" customHeight="1">
      <c r="A17" s="23" t="s">
        <v>469</v>
      </c>
      <c r="B17" s="23" t="s">
        <v>494</v>
      </c>
      <c r="C17" s="23" t="s">
        <v>496</v>
      </c>
    </row>
    <row r="18" ht="15.0" customHeight="1">
      <c r="A18" s="23" t="s">
        <v>469</v>
      </c>
      <c r="B18" s="23" t="s">
        <v>499</v>
      </c>
      <c r="C18" s="23" t="s">
        <v>501</v>
      </c>
    </row>
    <row r="19" ht="15.0" customHeight="1">
      <c r="A19" s="23" t="s">
        <v>506</v>
      </c>
      <c r="B19" s="23" t="s">
        <v>508</v>
      </c>
      <c r="C19" s="23" t="s">
        <v>509</v>
      </c>
    </row>
    <row r="20" ht="15.0" customHeight="1">
      <c r="A20" s="23" t="s">
        <v>506</v>
      </c>
      <c r="B20" s="23" t="s">
        <v>516</v>
      </c>
      <c r="C20" s="23" t="s">
        <v>518</v>
      </c>
    </row>
    <row r="21" ht="15.0" customHeight="1">
      <c r="A21" s="23" t="s">
        <v>506</v>
      </c>
      <c r="B21" s="23" t="s">
        <v>525</v>
      </c>
      <c r="C21" s="23" t="s">
        <v>527</v>
      </c>
    </row>
    <row r="22" ht="15.0" customHeight="1">
      <c r="A22" s="23" t="s">
        <v>506</v>
      </c>
      <c r="B22" s="23" t="s">
        <v>534</v>
      </c>
      <c r="C22" s="23" t="s">
        <v>537</v>
      </c>
    </row>
    <row r="23" ht="15.0" customHeight="1">
      <c r="A23" s="23" t="s">
        <v>506</v>
      </c>
      <c r="B23" s="23" t="s">
        <v>544</v>
      </c>
      <c r="C23" s="23" t="s">
        <v>545</v>
      </c>
    </row>
    <row r="24" ht="15.0" customHeight="1">
      <c r="A24" s="23" t="s">
        <v>506</v>
      </c>
      <c r="B24" s="23" t="s">
        <v>546</v>
      </c>
      <c r="C24" s="23" t="s">
        <v>433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